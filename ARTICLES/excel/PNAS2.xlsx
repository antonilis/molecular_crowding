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<sst xmlns="http://schemas.openxmlformats.org/spreadsheetml/2006/main" count="57" uniqueCount="16">
  <si>
    <t>Crowder</t>
  </si>
  <si>
    <t>crowder wt (%)</t>
  </si>
  <si>
    <t>ΔG°25 (kcal/mol)</t>
  </si>
  <si>
    <t>-ΔG°37 (kcal/mol)</t>
  </si>
  <si>
    <t>ΔG°37 error</t>
  </si>
  <si>
    <t>R [cal/molK]</t>
  </si>
  <si>
    <t>Temp [K]</t>
  </si>
  <si>
    <t>K [M]</t>
  </si>
  <si>
    <t>K [M] error</t>
  </si>
  <si>
    <t xml:space="preserve"> ethylene glycol</t>
  </si>
  <si>
    <t xml:space="preserve"> glycerol</t>
  </si>
  <si>
    <t xml:space="preserve"> 2-methoxyethanol</t>
  </si>
  <si>
    <t xml:space="preserve"> 1,3-propanediol</t>
  </si>
  <si>
    <t xml:space="preserve"> PEG 200</t>
  </si>
  <si>
    <t xml:space="preserve"> PEG 2000</t>
  </si>
  <si>
    <t xml:space="preserve"> PEG 8000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</si>
</sst>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00000000_ "/>
    <numFmt numFmtId="179" formatCode="0_ "/>
    <numFmt numFmtId="180" formatCode="0.00_ 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rgb="FF202122"/>
      <name val="Calibri"/>
      <charset val="134"/>
      <scheme val="minor"/>
    </font>
    <font>
      <sz val="11.05"/>
      <color rgb="FF000000"/>
      <name val="Arial"/>
      <charset val="134"/>
    </font>
    <font>
      <sz val="7.9"/>
      <color rgb="FF000000"/>
      <name val="Arial"/>
      <charset val="134"/>
    </font>
    <font>
      <sz val="9.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/>
    <xf numFmtId="0" fontId="3" fillId="0" borderId="0" xfId="0" applyFont="1"/>
    <xf numFmtId="178" fontId="4" fillId="0" borderId="0" xfId="0" applyNumberFormat="1" applyFont="1"/>
    <xf numFmtId="179" fontId="0" fillId="0" borderId="0" xfId="0" applyNumberFormat="1" applyBorder="1" applyAlignment="1">
      <alignment horizontal="center"/>
    </xf>
    <xf numFmtId="180" fontId="0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Border="1" applyAlignment="1" quotePrefix="1">
      <alignment horizont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6"/>
  <sheetViews>
    <sheetView tabSelected="1" topLeftCell="A22" workbookViewId="0">
      <selection activeCell="D52" sqref="D52"/>
    </sheetView>
  </sheetViews>
  <sheetFormatPr defaultColWidth="9" defaultRowHeight="14.4"/>
  <cols>
    <col min="1" max="1" width="20" style="1" customWidth="1"/>
    <col min="2" max="2" width="15.1111111111111" style="1" customWidth="1"/>
    <col min="3" max="3" width="16.3333333333333" style="1" customWidth="1"/>
    <col min="4" max="4" width="17.8981481481481" style="1" customWidth="1"/>
    <col min="5" max="5" width="14.3333333333333" style="1" customWidth="1"/>
    <col min="6" max="6" width="21.8333333333333" style="1" customWidth="1"/>
    <col min="7" max="7" width="8.88888888888889" style="1"/>
    <col min="8" max="8" width="17.1203703703704" style="1" customWidth="1"/>
    <col min="9" max="9" width="29.8055555555556" style="1" customWidth="1"/>
    <col min="10" max="10" width="14.1111111111111" style="1"/>
    <col min="11" max="16372" width="8.88888888888889" style="1"/>
    <col min="16373" max="16384" width="9" style="1"/>
  </cols>
  <sheetData>
    <row r="1" spans="1:9">
      <c r="A1" s="2" t="s">
        <v>0</v>
      </c>
      <c r="B1" s="2" t="s">
        <v>1</v>
      </c>
      <c r="C1" s="2" t="s">
        <v>2</v>
      </c>
      <c r="D1" s="1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4">
        <v>0</v>
      </c>
      <c r="C2" s="5">
        <v>-9.2</v>
      </c>
      <c r="D2" s="1">
        <f>(-1)*C2</f>
        <v>9.2</v>
      </c>
      <c r="E2" s="1">
        <v>0.4</v>
      </c>
      <c r="F2" s="6">
        <v>1.98720425864083</v>
      </c>
      <c r="G2" s="1">
        <f>298.15+12</f>
        <v>310.15</v>
      </c>
      <c r="H2" s="7">
        <f>EXP(D2/(310.15*$F$2)*1000)</f>
        <v>3038985.69463021</v>
      </c>
      <c r="I2" s="7">
        <f>H2/($F$2*310.15)*1000*E2</f>
        <v>1972306.25640656</v>
      </c>
    </row>
    <row r="3" spans="1:9">
      <c r="A3" s="3" t="s">
        <v>9</v>
      </c>
      <c r="B3" s="4">
        <v>20</v>
      </c>
      <c r="C3" s="5">
        <v>-7.5</v>
      </c>
      <c r="D3" s="1">
        <f t="shared" ref="D3:D38" si="0">(-1)*C3</f>
        <v>7.5</v>
      </c>
      <c r="E3" s="1">
        <v>0.3</v>
      </c>
      <c r="H3" s="7">
        <f t="shared" ref="H3:H38" si="1">EXP(D3/(310.15*$F$2)*1000)</f>
        <v>192678.449682981</v>
      </c>
      <c r="I3" s="7">
        <f t="shared" ref="I3:I38" si="2">H3/($F$2*310.15)*1000*E3</f>
        <v>93786.451295891</v>
      </c>
    </row>
    <row r="4" spans="1:9">
      <c r="A4" s="3" t="s">
        <v>9</v>
      </c>
      <c r="B4" s="4">
        <v>30</v>
      </c>
      <c r="C4" s="5">
        <v>-6.7</v>
      </c>
      <c r="D4" s="1">
        <f t="shared" si="0"/>
        <v>6.7</v>
      </c>
      <c r="E4" s="1">
        <v>0.2</v>
      </c>
      <c r="F4" s="2"/>
      <c r="H4" s="7">
        <f t="shared" si="1"/>
        <v>52615.9732411392</v>
      </c>
      <c r="I4" s="7">
        <f t="shared" si="2"/>
        <v>17073.922623885</v>
      </c>
    </row>
    <row r="5" spans="1:9">
      <c r="A5" s="3" t="s">
        <v>9</v>
      </c>
      <c r="B5" s="4">
        <v>40</v>
      </c>
      <c r="C5" s="5">
        <v>-5.9</v>
      </c>
      <c r="D5" s="1">
        <f t="shared" si="0"/>
        <v>5.9</v>
      </c>
      <c r="E5" s="1">
        <v>0.4</v>
      </c>
      <c r="F5" s="8"/>
      <c r="H5" s="7">
        <f t="shared" si="1"/>
        <v>14368.1903433792</v>
      </c>
      <c r="I5" s="7">
        <f t="shared" si="2"/>
        <v>9324.97700056971</v>
      </c>
    </row>
    <row r="6" spans="1:9">
      <c r="A6" s="3" t="s">
        <v>10</v>
      </c>
      <c r="B6" s="4">
        <v>0</v>
      </c>
      <c r="C6" s="5">
        <v>-9.2</v>
      </c>
      <c r="D6" s="1">
        <f t="shared" si="0"/>
        <v>9.2</v>
      </c>
      <c r="E6" s="1">
        <v>0.4</v>
      </c>
      <c r="H6" s="7">
        <f t="shared" si="1"/>
        <v>3038985.69463021</v>
      </c>
      <c r="I6" s="7">
        <f t="shared" si="2"/>
        <v>1972306.25640656</v>
      </c>
    </row>
    <row r="7" spans="1:9">
      <c r="A7" s="3" t="s">
        <v>10</v>
      </c>
      <c r="B7" s="4">
        <v>5</v>
      </c>
      <c r="C7" s="5">
        <v>-9</v>
      </c>
      <c r="D7" s="1">
        <f t="shared" si="0"/>
        <v>9</v>
      </c>
      <c r="E7" s="1">
        <v>0.3</v>
      </c>
      <c r="H7" s="7">
        <f t="shared" si="1"/>
        <v>2196846.8001871</v>
      </c>
      <c r="I7" s="7">
        <f t="shared" si="2"/>
        <v>1069317.641746</v>
      </c>
    </row>
    <row r="8" spans="1:9">
      <c r="A8" s="3" t="s">
        <v>10</v>
      </c>
      <c r="B8" s="4">
        <v>10</v>
      </c>
      <c r="C8" s="5">
        <v>-8.3</v>
      </c>
      <c r="D8" s="1">
        <f t="shared" si="0"/>
        <v>8.3</v>
      </c>
      <c r="E8" s="1">
        <v>0.4</v>
      </c>
      <c r="H8" s="7">
        <f t="shared" si="1"/>
        <v>705583.926046437</v>
      </c>
      <c r="I8" s="7">
        <f t="shared" si="2"/>
        <v>457925.022227072</v>
      </c>
    </row>
    <row r="9" spans="1:9">
      <c r="A9" s="3" t="s">
        <v>10</v>
      </c>
      <c r="B9" s="4">
        <v>15</v>
      </c>
      <c r="C9" s="5">
        <v>-8.3</v>
      </c>
      <c r="D9" s="1">
        <f t="shared" si="0"/>
        <v>8.3</v>
      </c>
      <c r="E9" s="1">
        <v>0.3</v>
      </c>
      <c r="H9" s="7">
        <f t="shared" si="1"/>
        <v>705583.926046437</v>
      </c>
      <c r="I9" s="7">
        <f t="shared" si="2"/>
        <v>343443.766670304</v>
      </c>
    </row>
    <row r="10" spans="1:9">
      <c r="A10" s="3" t="s">
        <v>10</v>
      </c>
      <c r="B10" s="4">
        <v>20</v>
      </c>
      <c r="C10" s="5">
        <v>-8</v>
      </c>
      <c r="D10" s="1">
        <f t="shared" si="0"/>
        <v>8</v>
      </c>
      <c r="E10" s="1">
        <v>0.4</v>
      </c>
      <c r="H10" s="7">
        <f t="shared" si="1"/>
        <v>433665.978636247</v>
      </c>
      <c r="I10" s="7">
        <f t="shared" si="2"/>
        <v>281449.868081404</v>
      </c>
    </row>
    <row r="11" spans="1:9">
      <c r="A11" s="3" t="s">
        <v>10</v>
      </c>
      <c r="B11" s="4">
        <v>25</v>
      </c>
      <c r="C11" s="5">
        <v>-7.6</v>
      </c>
      <c r="D11" s="1">
        <f t="shared" si="0"/>
        <v>7.6</v>
      </c>
      <c r="E11" s="1">
        <v>0.3</v>
      </c>
      <c r="H11" s="7">
        <f t="shared" si="1"/>
        <v>226619.660803249</v>
      </c>
      <c r="I11" s="7">
        <f t="shared" si="2"/>
        <v>110307.373842714</v>
      </c>
    </row>
    <row r="12" spans="1:9">
      <c r="A12" s="3" t="s">
        <v>10</v>
      </c>
      <c r="B12" s="4">
        <v>30</v>
      </c>
      <c r="C12" s="5">
        <v>-7.4</v>
      </c>
      <c r="D12" s="1">
        <f t="shared" si="0"/>
        <v>7.4</v>
      </c>
      <c r="E12" s="1">
        <v>0.3</v>
      </c>
      <c r="H12" s="7">
        <f t="shared" si="1"/>
        <v>163820.671342674</v>
      </c>
      <c r="I12" s="7">
        <f t="shared" si="2"/>
        <v>79739.895351135</v>
      </c>
    </row>
    <row r="13" spans="1:9">
      <c r="A13" s="3" t="s">
        <v>10</v>
      </c>
      <c r="B13" s="4">
        <v>40</v>
      </c>
      <c r="C13" s="5">
        <v>-6.9</v>
      </c>
      <c r="D13" s="1">
        <f t="shared" si="0"/>
        <v>6.9</v>
      </c>
      <c r="E13" s="1">
        <v>0.3</v>
      </c>
      <c r="H13" s="7">
        <f t="shared" si="1"/>
        <v>72785.7718504768</v>
      </c>
      <c r="I13" s="7">
        <f t="shared" si="2"/>
        <v>35428.5560109088</v>
      </c>
    </row>
    <row r="14" spans="1:9">
      <c r="A14" s="3" t="s">
        <v>10</v>
      </c>
      <c r="B14" s="4">
        <v>50</v>
      </c>
      <c r="C14" s="5">
        <v>-6.4</v>
      </c>
      <c r="D14" s="1">
        <f t="shared" si="0"/>
        <v>6.4</v>
      </c>
      <c r="E14" s="1">
        <v>0.4</v>
      </c>
      <c r="H14" s="7">
        <f t="shared" si="1"/>
        <v>32338.8284301924</v>
      </c>
      <c r="I14" s="7">
        <f t="shared" si="2"/>
        <v>20987.9479690963</v>
      </c>
    </row>
    <row r="15" spans="1:9">
      <c r="A15" s="3" t="s">
        <v>11</v>
      </c>
      <c r="B15" s="4">
        <v>0</v>
      </c>
      <c r="C15" s="5">
        <v>-9.2</v>
      </c>
      <c r="D15" s="1">
        <f t="shared" si="0"/>
        <v>9.2</v>
      </c>
      <c r="E15" s="1">
        <v>0.4</v>
      </c>
      <c r="H15" s="7">
        <f t="shared" si="1"/>
        <v>3038985.69463021</v>
      </c>
      <c r="I15" s="7">
        <f t="shared" si="2"/>
        <v>1972306.25640656</v>
      </c>
    </row>
    <row r="16" spans="1:9">
      <c r="A16" s="3" t="s">
        <v>11</v>
      </c>
      <c r="B16" s="4">
        <v>15</v>
      </c>
      <c r="C16" s="5">
        <v>-7.1</v>
      </c>
      <c r="D16" s="1">
        <f t="shared" si="0"/>
        <v>7.1</v>
      </c>
      <c r="E16" s="1">
        <v>0.4</v>
      </c>
      <c r="H16" s="7">
        <f t="shared" si="1"/>
        <v>100687.457772376</v>
      </c>
      <c r="I16" s="7">
        <f t="shared" si="2"/>
        <v>65346.3105328282</v>
      </c>
    </row>
    <row r="17" spans="1:9">
      <c r="A17" s="3" t="s">
        <v>11</v>
      </c>
      <c r="B17" s="4">
        <v>20</v>
      </c>
      <c r="C17" s="5">
        <v>-6.7</v>
      </c>
      <c r="D17" s="1">
        <f t="shared" si="0"/>
        <v>6.7</v>
      </c>
      <c r="E17" s="1">
        <v>0.3</v>
      </c>
      <c r="H17" s="7">
        <f t="shared" si="1"/>
        <v>52615.9732411392</v>
      </c>
      <c r="I17" s="7">
        <f t="shared" si="2"/>
        <v>25610.8839358275</v>
      </c>
    </row>
    <row r="18" spans="1:9">
      <c r="A18" s="3" t="s">
        <v>11</v>
      </c>
      <c r="B18" s="4">
        <v>40</v>
      </c>
      <c r="C18" s="5">
        <v>-4.7</v>
      </c>
      <c r="D18" s="1">
        <f t="shared" si="0"/>
        <v>4.7</v>
      </c>
      <c r="E18" s="1">
        <v>0.3</v>
      </c>
      <c r="H18" s="7">
        <f t="shared" si="1"/>
        <v>2050.35362209943</v>
      </c>
      <c r="I18" s="7">
        <f t="shared" si="2"/>
        <v>998.011923153681</v>
      </c>
    </row>
    <row r="19" spans="1:9">
      <c r="A19" s="3" t="s">
        <v>12</v>
      </c>
      <c r="B19" s="4">
        <v>0</v>
      </c>
      <c r="C19" s="5">
        <v>-9.2</v>
      </c>
      <c r="D19" s="1">
        <f t="shared" si="0"/>
        <v>9.2</v>
      </c>
      <c r="E19" s="1">
        <v>0.4</v>
      </c>
      <c r="H19" s="7">
        <f t="shared" si="1"/>
        <v>3038985.69463021</v>
      </c>
      <c r="I19" s="7">
        <f t="shared" si="2"/>
        <v>1972306.25640656</v>
      </c>
    </row>
    <row r="20" spans="1:9">
      <c r="A20" s="3" t="s">
        <v>12</v>
      </c>
      <c r="B20" s="4">
        <v>15</v>
      </c>
      <c r="C20" s="5">
        <v>-8</v>
      </c>
      <c r="D20" s="1">
        <f t="shared" si="0"/>
        <v>8</v>
      </c>
      <c r="E20" s="1">
        <v>0.5</v>
      </c>
      <c r="H20" s="7">
        <f t="shared" si="1"/>
        <v>433665.978636247</v>
      </c>
      <c r="I20" s="7">
        <f t="shared" si="2"/>
        <v>351812.335101755</v>
      </c>
    </row>
    <row r="21" spans="1:9">
      <c r="A21" s="3" t="s">
        <v>12</v>
      </c>
      <c r="B21" s="4">
        <v>20</v>
      </c>
      <c r="C21" s="5">
        <v>-7.1</v>
      </c>
      <c r="D21" s="1">
        <f t="shared" si="0"/>
        <v>7.1</v>
      </c>
      <c r="E21" s="1">
        <v>0.5</v>
      </c>
      <c r="H21" s="7">
        <f t="shared" si="1"/>
        <v>100687.457772376</v>
      </c>
      <c r="I21" s="7">
        <f t="shared" si="2"/>
        <v>81682.8881660352</v>
      </c>
    </row>
    <row r="22" spans="1:9">
      <c r="A22" s="3" t="s">
        <v>12</v>
      </c>
      <c r="B22" s="4">
        <v>40</v>
      </c>
      <c r="C22" s="5">
        <v>-6</v>
      </c>
      <c r="D22" s="1">
        <f t="shared" si="0"/>
        <v>6</v>
      </c>
      <c r="E22" s="1">
        <v>0.4</v>
      </c>
      <c r="H22" s="7">
        <f t="shared" si="1"/>
        <v>16899.2143508029</v>
      </c>
      <c r="I22" s="7">
        <f t="shared" si="2"/>
        <v>10967.6153630265</v>
      </c>
    </row>
    <row r="23" spans="1:9">
      <c r="A23" s="3" t="s">
        <v>13</v>
      </c>
      <c r="B23" s="4">
        <v>0</v>
      </c>
      <c r="C23" s="5">
        <v>-9.2</v>
      </c>
      <c r="D23" s="1">
        <f t="shared" si="0"/>
        <v>9.2</v>
      </c>
      <c r="E23" s="1">
        <v>0.4</v>
      </c>
      <c r="H23" s="7">
        <f t="shared" si="1"/>
        <v>3038985.69463021</v>
      </c>
      <c r="I23" s="7">
        <f t="shared" si="2"/>
        <v>1972306.25640656</v>
      </c>
    </row>
    <row r="24" spans="1:9">
      <c r="A24" s="3" t="s">
        <v>13</v>
      </c>
      <c r="B24" s="4">
        <v>10</v>
      </c>
      <c r="C24" s="5">
        <v>-8.1</v>
      </c>
      <c r="D24" s="1">
        <f t="shared" si="0"/>
        <v>8.1</v>
      </c>
      <c r="E24" s="1">
        <v>0.2</v>
      </c>
      <c r="H24" s="7">
        <f t="shared" si="1"/>
        <v>510058.271395442</v>
      </c>
      <c r="I24" s="7">
        <f t="shared" si="2"/>
        <v>165514.290110464</v>
      </c>
    </row>
    <row r="25" spans="1:9">
      <c r="A25" s="3" t="s">
        <v>13</v>
      </c>
      <c r="B25" s="4">
        <v>20</v>
      </c>
      <c r="C25" s="5">
        <v>-7</v>
      </c>
      <c r="D25" s="1">
        <f t="shared" si="0"/>
        <v>7</v>
      </c>
      <c r="E25" s="1">
        <v>0.3</v>
      </c>
      <c r="H25" s="7">
        <f t="shared" si="1"/>
        <v>85607.3263782058</v>
      </c>
      <c r="I25" s="7">
        <f t="shared" si="2"/>
        <v>41669.4620449306</v>
      </c>
    </row>
    <row r="26" spans="1:9">
      <c r="A26" s="3" t="s">
        <v>13</v>
      </c>
      <c r="B26" s="4">
        <v>30</v>
      </c>
      <c r="C26" s="5">
        <v>-5.9</v>
      </c>
      <c r="D26" s="1">
        <f t="shared" si="0"/>
        <v>5.9</v>
      </c>
      <c r="E26" s="1">
        <v>0.2</v>
      </c>
      <c r="H26" s="7">
        <f t="shared" si="1"/>
        <v>14368.1903433792</v>
      </c>
      <c r="I26" s="7">
        <f t="shared" si="2"/>
        <v>4662.48850028486</v>
      </c>
    </row>
    <row r="27" spans="1:9">
      <c r="A27" s="3" t="s">
        <v>13</v>
      </c>
      <c r="B27" s="4">
        <v>40</v>
      </c>
      <c r="C27" s="5">
        <v>-5</v>
      </c>
      <c r="D27" s="1">
        <f t="shared" si="0"/>
        <v>5</v>
      </c>
      <c r="E27" s="1">
        <v>0.3</v>
      </c>
      <c r="H27" s="7">
        <f t="shared" si="1"/>
        <v>3335.96968573344</v>
      </c>
      <c r="I27" s="7">
        <f t="shared" si="2"/>
        <v>1623.78698277041</v>
      </c>
    </row>
    <row r="28" spans="1:9">
      <c r="A28" s="3" t="s">
        <v>13</v>
      </c>
      <c r="B28" s="4">
        <v>50</v>
      </c>
      <c r="C28" s="5">
        <v>-4.5</v>
      </c>
      <c r="D28" s="1">
        <f t="shared" si="0"/>
        <v>4.5</v>
      </c>
      <c r="E28" s="1">
        <v>0.4</v>
      </c>
      <c r="H28" s="7">
        <f t="shared" si="1"/>
        <v>1482.17637283391</v>
      </c>
      <c r="I28" s="7">
        <f t="shared" si="2"/>
        <v>961.934680509915</v>
      </c>
    </row>
    <row r="29" spans="1:9">
      <c r="A29" s="3" t="s">
        <v>14</v>
      </c>
      <c r="B29" s="4">
        <v>0</v>
      </c>
      <c r="C29" s="5">
        <v>-9.2</v>
      </c>
      <c r="D29" s="1">
        <f t="shared" si="0"/>
        <v>9.2</v>
      </c>
      <c r="E29" s="1">
        <v>0.4</v>
      </c>
      <c r="H29" s="7">
        <f t="shared" si="1"/>
        <v>3038985.69463021</v>
      </c>
      <c r="I29" s="7">
        <f t="shared" si="2"/>
        <v>1972306.25640656</v>
      </c>
    </row>
    <row r="30" spans="1:9">
      <c r="A30" s="3" t="s">
        <v>14</v>
      </c>
      <c r="B30" s="4">
        <v>20</v>
      </c>
      <c r="C30" s="5">
        <v>-8.4</v>
      </c>
      <c r="D30" s="1">
        <f t="shared" si="0"/>
        <v>8.4</v>
      </c>
      <c r="E30" s="1">
        <v>0.4</v>
      </c>
      <c r="H30" s="7">
        <f t="shared" si="1"/>
        <v>829875.838486109</v>
      </c>
      <c r="I30" s="7">
        <f t="shared" si="2"/>
        <v>538590.659106725</v>
      </c>
    </row>
    <row r="31" spans="1:9">
      <c r="A31" s="3" t="s">
        <v>14</v>
      </c>
      <c r="B31" s="4">
        <v>40</v>
      </c>
      <c r="C31" s="5">
        <v>-7.5</v>
      </c>
      <c r="D31" s="1">
        <f t="shared" si="0"/>
        <v>7.5</v>
      </c>
      <c r="E31" s="1">
        <v>0.4</v>
      </c>
      <c r="H31" s="7">
        <f t="shared" si="1"/>
        <v>192678.449682981</v>
      </c>
      <c r="I31" s="7">
        <f t="shared" si="2"/>
        <v>125048.601727855</v>
      </c>
    </row>
    <row r="32" spans="1:9">
      <c r="A32" s="3" t="s">
        <v>15</v>
      </c>
      <c r="B32" s="4">
        <v>0</v>
      </c>
      <c r="C32" s="5">
        <v>-9.2</v>
      </c>
      <c r="D32" s="1">
        <f t="shared" si="0"/>
        <v>9.2</v>
      </c>
      <c r="E32" s="1">
        <v>0.4</v>
      </c>
      <c r="H32" s="7">
        <f t="shared" si="1"/>
        <v>3038985.69463021</v>
      </c>
      <c r="I32" s="7">
        <f t="shared" si="2"/>
        <v>1972306.25640656</v>
      </c>
    </row>
    <row r="33" spans="1:9">
      <c r="A33" s="3" t="s">
        <v>15</v>
      </c>
      <c r="B33" s="4">
        <v>10</v>
      </c>
      <c r="C33" s="5">
        <v>-8.6</v>
      </c>
      <c r="D33" s="1">
        <f t="shared" si="0"/>
        <v>8.6</v>
      </c>
      <c r="E33" s="1">
        <v>0.4</v>
      </c>
      <c r="H33" s="7">
        <f t="shared" si="1"/>
        <v>1148000.30719655</v>
      </c>
      <c r="I33" s="7">
        <f t="shared" si="2"/>
        <v>745053.914614072</v>
      </c>
    </row>
    <row r="34" spans="1:9">
      <c r="A34" s="3" t="s">
        <v>15</v>
      </c>
      <c r="B34" s="4">
        <v>15</v>
      </c>
      <c r="C34" s="5">
        <v>-8.1</v>
      </c>
      <c r="D34" s="1">
        <f t="shared" si="0"/>
        <v>8.1</v>
      </c>
      <c r="E34" s="1">
        <v>0.5</v>
      </c>
      <c r="H34" s="7">
        <f t="shared" si="1"/>
        <v>510058.271395442</v>
      </c>
      <c r="I34" s="7">
        <f t="shared" si="2"/>
        <v>413785.725276159</v>
      </c>
    </row>
    <row r="35" spans="1:9">
      <c r="A35" s="1" t="s">
        <v>13</v>
      </c>
      <c r="B35" s="9">
        <v>0</v>
      </c>
      <c r="C35" s="10">
        <v>-8.9</v>
      </c>
      <c r="D35" s="1">
        <f>(-1)*C35</f>
        <v>8.9</v>
      </c>
      <c r="E35" s="11">
        <v>0.6</v>
      </c>
      <c r="H35" s="7">
        <f>EXP(D35/(310.15*$F$2)*1000)</f>
        <v>1867821.3273762</v>
      </c>
      <c r="I35" s="7">
        <f>H35/($F$2*310.15)*1000*E35</f>
        <v>1818328.24830817</v>
      </c>
    </row>
    <row r="36" spans="1:9">
      <c r="A36" s="1" t="s">
        <v>13</v>
      </c>
      <c r="B36" s="9">
        <v>10</v>
      </c>
      <c r="C36" s="10">
        <v>-7.8</v>
      </c>
      <c r="D36" s="1">
        <f>(-1)*C36</f>
        <v>7.8</v>
      </c>
      <c r="E36" s="11">
        <v>0.2</v>
      </c>
      <c r="H36" s="7">
        <f>EXP(D36/(310.15*$F$2)*1000)</f>
        <v>313492.004651563</v>
      </c>
      <c r="I36" s="7">
        <f>H36/($F$2*310.15)*1000*E36</f>
        <v>101728.389705854</v>
      </c>
    </row>
    <row r="37" spans="1:9">
      <c r="A37" s="1" t="s">
        <v>13</v>
      </c>
      <c r="B37" s="9">
        <v>20</v>
      </c>
      <c r="C37" s="10">
        <v>-6.8</v>
      </c>
      <c r="D37" s="1">
        <f>(-1)*C37</f>
        <v>6.8</v>
      </c>
      <c r="E37" s="11">
        <v>0.3</v>
      </c>
      <c r="H37" s="7">
        <f>EXP(D37/(310.15*$F$2)*1000)</f>
        <v>61884.523299613</v>
      </c>
      <c r="I37" s="7">
        <f>H37/($F$2*310.15)*1000*E37</f>
        <v>30122.3610629935</v>
      </c>
    </row>
    <row r="38" spans="1:9">
      <c r="A38" s="1" t="s">
        <v>13</v>
      </c>
      <c r="B38" s="9">
        <v>30</v>
      </c>
      <c r="C38" s="10">
        <v>-6</v>
      </c>
      <c r="D38" s="1">
        <f>(-1)*C38</f>
        <v>6</v>
      </c>
      <c r="E38" s="11">
        <v>0.3</v>
      </c>
      <c r="H38" s="7">
        <f>EXP(D38/(310.15*$F$2)*1000)</f>
        <v>16899.2143508029</v>
      </c>
      <c r="I38" s="7">
        <f>H38/($F$2*310.15)*1000*E38</f>
        <v>8225.7115222699</v>
      </c>
    </row>
    <row r="39" spans="1:9">
      <c r="A39" s="1" t="s">
        <v>13</v>
      </c>
      <c r="B39" s="9">
        <v>40</v>
      </c>
      <c r="C39" s="10">
        <v>-5.3</v>
      </c>
      <c r="D39" s="1">
        <f>(-1)*C39</f>
        <v>5.3</v>
      </c>
      <c r="E39" s="11">
        <v>0.5</v>
      </c>
      <c r="H39" s="7">
        <f>EXP(D39/(310.15*$F$2)*1000)</f>
        <v>5427.69482502116</v>
      </c>
      <c r="I39" s="7">
        <f>H39/($F$2*310.15)*1000*E39</f>
        <v>4403.22756379303</v>
      </c>
    </row>
    <row r="40" spans="1:8">
      <c r="A40" s="1" t="s">
        <v>13</v>
      </c>
      <c r="B40" s="9">
        <v>10</v>
      </c>
      <c r="C40" s="4">
        <v>0.35</v>
      </c>
      <c r="D40" s="1">
        <f t="shared" ref="D40:D49" si="3">(-1)*C40</f>
        <v>-0.35</v>
      </c>
      <c r="G40" s="1">
        <v>289.15</v>
      </c>
      <c r="H40" s="7">
        <f>EXP(D40/(298.15*$F$2)*1000)</f>
        <v>0.553921496711475</v>
      </c>
    </row>
    <row r="41" spans="1:8">
      <c r="A41" s="1" t="s">
        <v>13</v>
      </c>
      <c r="B41" s="9">
        <v>20</v>
      </c>
      <c r="C41" s="4">
        <v>0.83</v>
      </c>
      <c r="D41" s="1">
        <f t="shared" si="3"/>
        <v>-0.83</v>
      </c>
      <c r="H41" s="7">
        <f t="shared" ref="H41:H49" si="4">EXP(D41/(298.15*$F$2)*1000)</f>
        <v>0.24638018562138</v>
      </c>
    </row>
    <row r="42" spans="1:8">
      <c r="A42" s="1" t="s">
        <v>13</v>
      </c>
      <c r="B42" s="9">
        <v>30</v>
      </c>
      <c r="C42" s="4">
        <v>1.21</v>
      </c>
      <c r="D42" s="1">
        <f t="shared" si="3"/>
        <v>-1.21</v>
      </c>
      <c r="H42" s="7">
        <f t="shared" si="4"/>
        <v>0.129736998190086</v>
      </c>
    </row>
    <row r="43" spans="1:8">
      <c r="A43" s="1" t="s">
        <v>13</v>
      </c>
      <c r="B43" s="9">
        <v>40</v>
      </c>
      <c r="C43" s="4">
        <v>1.47</v>
      </c>
      <c r="D43" s="1">
        <f t="shared" si="3"/>
        <v>-1.47</v>
      </c>
      <c r="H43" s="7">
        <f t="shared" si="4"/>
        <v>0.0836531930405655</v>
      </c>
    </row>
    <row r="44" spans="1:8">
      <c r="A44" s="1" t="s">
        <v>13</v>
      </c>
      <c r="B44" s="9">
        <v>50</v>
      </c>
      <c r="C44" s="4">
        <v>2.01</v>
      </c>
      <c r="D44" s="1">
        <f t="shared" si="3"/>
        <v>-2.01</v>
      </c>
      <c r="H44" s="7">
        <f t="shared" si="4"/>
        <v>0.0336248051097218</v>
      </c>
    </row>
    <row r="45" spans="1:8">
      <c r="A45" s="1" t="s">
        <v>13</v>
      </c>
      <c r="B45" s="9">
        <v>10</v>
      </c>
      <c r="C45" s="4">
        <v>0.54</v>
      </c>
      <c r="D45" s="1">
        <f t="shared" si="3"/>
        <v>-0.54</v>
      </c>
      <c r="H45" s="7">
        <f t="shared" si="4"/>
        <v>0.401954831460125</v>
      </c>
    </row>
    <row r="46" spans="1:8">
      <c r="A46" s="1" t="s">
        <v>13</v>
      </c>
      <c r="B46" s="9">
        <v>20</v>
      </c>
      <c r="C46" s="4">
        <v>1.18</v>
      </c>
      <c r="D46" s="1">
        <f t="shared" si="3"/>
        <v>-1.18</v>
      </c>
      <c r="H46" s="7">
        <f t="shared" si="4"/>
        <v>0.136475281179446</v>
      </c>
    </row>
    <row r="47" spans="1:8">
      <c r="A47" s="1" t="s">
        <v>13</v>
      </c>
      <c r="B47" s="9">
        <v>30</v>
      </c>
      <c r="C47" s="4">
        <v>1.71</v>
      </c>
      <c r="D47" s="1">
        <f t="shared" si="3"/>
        <v>-1.71</v>
      </c>
      <c r="H47" s="7">
        <f t="shared" si="4"/>
        <v>0.0557906346559495</v>
      </c>
    </row>
    <row r="48" spans="1:8">
      <c r="A48" s="1" t="s">
        <v>13</v>
      </c>
      <c r="B48" s="9">
        <v>40</v>
      </c>
      <c r="C48" s="4">
        <v>2.28</v>
      </c>
      <c r="D48" s="1">
        <f t="shared" si="3"/>
        <v>-2.28</v>
      </c>
      <c r="H48" s="7">
        <f t="shared" si="4"/>
        <v>0.0213180954522181</v>
      </c>
    </row>
    <row r="49" spans="1:8">
      <c r="A49" s="1" t="s">
        <v>13</v>
      </c>
      <c r="B49" s="9">
        <v>50</v>
      </c>
      <c r="C49" s="4">
        <v>2.83</v>
      </c>
      <c r="D49" s="1">
        <f t="shared" si="3"/>
        <v>-2.83</v>
      </c>
      <c r="H49" s="7">
        <f t="shared" si="4"/>
        <v>0.00842549848387771</v>
      </c>
    </row>
    <row r="50" spans="1:2">
      <c r="A50" s="12"/>
      <c r="B50" s="9"/>
    </row>
    <row r="51" spans="1:2">
      <c r="A51" s="12"/>
      <c r="B51" s="9"/>
    </row>
    <row r="52" spans="2:3">
      <c r="B52" s="11"/>
      <c r="C52" s="11"/>
    </row>
    <row r="54" spans="1:1">
      <c r="A54" s="13"/>
    </row>
    <row r="74" spans="1:1">
      <c r="A74" s="14"/>
    </row>
    <row r="76" spans="1:1">
      <c r="A76" s="14"/>
    </row>
    <row r="96" spans="1:1">
      <c r="A96" s="14"/>
    </row>
    <row r="99" spans="1:1">
      <c r="A99" s="13"/>
    </row>
    <row r="101" spans="1:1">
      <c r="A101" s="14"/>
    </row>
    <row r="103" spans="1:1">
      <c r="A103" s="13"/>
    </row>
    <row r="104" spans="1:1">
      <c r="A104" s="13"/>
    </row>
    <row r="106" spans="1:1">
      <c r="A106" s="14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tpiros</cp:lastModifiedBy>
  <dcterms:created xsi:type="dcterms:W3CDTF">2025-09-04T11:28:00Z</dcterms:created>
  <dcterms:modified xsi:type="dcterms:W3CDTF">2025-10-13T10:06:16Z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