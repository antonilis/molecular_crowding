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<sst xmlns="http://schemas.openxmlformats.org/spreadsheetml/2006/main" count="34" uniqueCount="14">
  <si>
    <t>Crowder</t>
  </si>
  <si>
    <t>crowder wt (%)</t>
  </si>
  <si>
    <t>ΔG°37 (kcal/mol)</t>
  </si>
  <si>
    <t>-ΔG°37 (kcal/mol)</t>
  </si>
  <si>
    <t>ΔG°25 error</t>
  </si>
  <si>
    <t>R [cal/molK]</t>
  </si>
  <si>
    <t>Temp [K]</t>
  </si>
  <si>
    <t>K [M]</t>
  </si>
  <si>
    <t>K [M] error</t>
  </si>
  <si>
    <t>dimetoxyethane</t>
  </si>
  <si>
    <t>methoxyethanol</t>
  </si>
  <si>
    <t>EG</t>
  </si>
  <si>
    <t>glycerol</t>
  </si>
  <si>
    <t>PEG 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</si>
</sst>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00000000_ "/>
    <numFmt numFmtId="179" formatCode="0.000000_ "/>
    <numFmt numFmtId="180" formatCode="0.00_ "/>
    <numFmt numFmtId="181" formatCode="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021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78" fontId="2" fillId="0" borderId="0" xfId="0" applyNumberFormat="1" applyFont="1"/>
    <xf numFmtId="179" fontId="0" fillId="0" borderId="0" xfId="0" applyNumberFormat="1" applyBorder="1" applyAlignment="1">
      <alignment horizontal="center"/>
    </xf>
    <xf numFmtId="180" fontId="0" fillId="0" borderId="0" xfId="0" applyNumberFormat="1" applyFont="1" applyBorder="1" applyAlignment="1">
      <alignment horizontal="center"/>
    </xf>
    <xf numFmtId="181" fontId="0" fillId="0" borderId="0" xfId="0" applyNumberFormat="1" applyBorder="1" applyAlignment="1">
      <alignment horizontal="center"/>
    </xf>
    <xf numFmtId="0" fontId="1" fillId="0" borderId="0" xfId="0" applyFont="1" applyBorder="1" applyAlignment="1" quotePrefix="1">
      <alignment horizont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153670</xdr:colOff>
      <xdr:row>32</xdr:row>
      <xdr:rowOff>151130</xdr:rowOff>
    </xdr:from>
    <xdr:to>
      <xdr:col>7</xdr:col>
      <xdr:colOff>27940</xdr:colOff>
      <xdr:row>51</xdr:row>
      <xdr:rowOff>147955</xdr:rowOff>
    </xdr:to>
    <xdr:pic>
      <xdr:nvPicPr>
        <xdr:cNvPr id="2" name="Obraz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670" y="6003290"/>
          <a:ext cx="7719695" cy="3471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132080</xdr:colOff>
      <xdr:row>26</xdr:row>
      <xdr:rowOff>147955</xdr:rowOff>
    </xdr:from>
    <xdr:to>
      <xdr:col>4</xdr:col>
      <xdr:colOff>107950</xdr:colOff>
      <xdr:row>32</xdr:row>
      <xdr:rowOff>71120</xdr:rowOff>
    </xdr:to>
    <xdr:pic>
      <xdr:nvPicPr>
        <xdr:cNvPr id="3" name="Obraz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080" y="4902835"/>
          <a:ext cx="4731385" cy="1020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tabSelected="1" zoomScale="70" zoomScaleNormal="70" workbookViewId="0">
      <selection activeCell="J2" sqref="J2:J31"/>
    </sheetView>
  </sheetViews>
  <sheetFormatPr defaultColWidth="9" defaultRowHeight="14.4"/>
  <cols>
    <col min="1" max="1" width="20" style="1" customWidth="1"/>
    <col min="2" max="2" width="15.1111111111111" style="1" customWidth="1"/>
    <col min="3" max="3" width="16.3333333333333" style="1" customWidth="1"/>
    <col min="4" max="4" width="17.8981481481481" style="1" customWidth="1"/>
    <col min="5" max="5" width="14.3333333333333" style="1" customWidth="1"/>
    <col min="6" max="6" width="21.8333333333333" style="1" customWidth="1"/>
    <col min="7" max="7" width="8.88888888888889" style="1"/>
    <col min="8" max="8" width="17.1203703703704" style="1" customWidth="1"/>
    <col min="9" max="9" width="29.8055555555556" style="1" customWidth="1"/>
    <col min="10" max="10" width="14.1111111111111" style="1"/>
    <col min="11" max="16372" width="8.88888888888889" style="1"/>
    <col min="16373" max="16384" width="9" style="1"/>
  </cols>
  <sheetData>
    <row r="1" spans="1:9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 t="s">
        <v>9</v>
      </c>
      <c r="B2" s="1">
        <v>0</v>
      </c>
      <c r="C2" s="1">
        <v>0.8</v>
      </c>
      <c r="D2" s="1">
        <f>C2*(-1)</f>
        <v>-0.8</v>
      </c>
      <c r="E2" s="1">
        <v>0.2</v>
      </c>
      <c r="F2" s="3">
        <v>1.98720425864083</v>
      </c>
      <c r="G2" s="1">
        <f>298.15+12</f>
        <v>310.15</v>
      </c>
      <c r="H2" s="4">
        <f>EXP(D2/(310.15*$F$2)*1000)</f>
        <v>0.273076586030817</v>
      </c>
      <c r="I2" s="4">
        <f>H2/($F$2*310.15)*1000*E2</f>
        <v>0.0886135561707971</v>
      </c>
    </row>
    <row r="3" spans="1:9">
      <c r="A3" s="1" t="s">
        <v>9</v>
      </c>
      <c r="B3" s="1">
        <v>10</v>
      </c>
      <c r="C3" s="1">
        <v>1.04</v>
      </c>
      <c r="D3" s="1">
        <f t="shared" ref="D3:D38" si="0">C3*(-1)</f>
        <v>-1.04</v>
      </c>
      <c r="E3" s="1">
        <v>0.02</v>
      </c>
      <c r="H3" s="4">
        <f t="shared" ref="H3:H26" si="1">EXP(D3/(310.15*$F$2)*1000)</f>
        <v>0.184999180305111</v>
      </c>
      <c r="I3" s="4">
        <f t="shared" ref="I3:I26" si="2">H3/($F$2*310.15)*1000*E3</f>
        <v>0.00600323722139558</v>
      </c>
    </row>
    <row r="4" spans="1:9">
      <c r="A4" s="1" t="s">
        <v>9</v>
      </c>
      <c r="B4" s="1">
        <v>20</v>
      </c>
      <c r="C4" s="1">
        <v>1.1</v>
      </c>
      <c r="D4" s="1">
        <f t="shared" si="0"/>
        <v>-1.1</v>
      </c>
      <c r="E4" s="1">
        <v>0.1</v>
      </c>
      <c r="F4" s="2"/>
      <c r="H4" s="4">
        <f t="shared" si="1"/>
        <v>0.167838325891662</v>
      </c>
      <c r="I4" s="4">
        <f t="shared" si="2"/>
        <v>0.0272318310683269</v>
      </c>
    </row>
    <row r="5" spans="1:9">
      <c r="A5" s="1" t="s">
        <v>9</v>
      </c>
      <c r="B5" s="1">
        <v>30</v>
      </c>
      <c r="C5" s="1">
        <v>1.3</v>
      </c>
      <c r="D5" s="1">
        <f t="shared" si="0"/>
        <v>-1.3</v>
      </c>
      <c r="E5" s="1">
        <v>0.2</v>
      </c>
      <c r="F5" s="5"/>
      <c r="H5" s="4">
        <f t="shared" si="1"/>
        <v>0.121328339858711</v>
      </c>
      <c r="I5" s="4">
        <f t="shared" si="2"/>
        <v>0.0393711369233471</v>
      </c>
    </row>
    <row r="6" spans="1:9">
      <c r="A6" s="1" t="s">
        <v>10</v>
      </c>
      <c r="B6" s="1">
        <v>40</v>
      </c>
      <c r="C6" s="1">
        <v>1.5</v>
      </c>
      <c r="D6" s="1">
        <f t="shared" si="0"/>
        <v>-1.5</v>
      </c>
      <c r="E6" s="1">
        <v>0.2</v>
      </c>
      <c r="H6" s="4">
        <f t="shared" si="1"/>
        <v>0.0877068212797415</v>
      </c>
      <c r="I6" s="4">
        <f t="shared" si="2"/>
        <v>0.0284609290272779</v>
      </c>
    </row>
    <row r="7" spans="1:9">
      <c r="A7" s="1" t="s">
        <v>10</v>
      </c>
      <c r="B7" s="1">
        <v>0</v>
      </c>
      <c r="C7" s="1">
        <v>0.8</v>
      </c>
      <c r="D7" s="1">
        <f t="shared" si="0"/>
        <v>-0.8</v>
      </c>
      <c r="E7" s="1">
        <v>0.2</v>
      </c>
      <c r="H7" s="4">
        <f t="shared" si="1"/>
        <v>0.273076586030817</v>
      </c>
      <c r="I7" s="4">
        <f t="shared" si="2"/>
        <v>0.0886135561707971</v>
      </c>
    </row>
    <row r="8" spans="1:9">
      <c r="A8" s="1" t="s">
        <v>10</v>
      </c>
      <c r="B8" s="1">
        <v>10</v>
      </c>
      <c r="C8" s="1">
        <v>0.77</v>
      </c>
      <c r="D8" s="1">
        <f t="shared" si="0"/>
        <v>-0.77</v>
      </c>
      <c r="E8" s="1">
        <v>0.02</v>
      </c>
      <c r="H8" s="4">
        <f t="shared" si="1"/>
        <v>0.286697428290475</v>
      </c>
      <c r="I8" s="4">
        <f t="shared" si="2"/>
        <v>0.00930335296596025</v>
      </c>
    </row>
    <row r="9" spans="1:9">
      <c r="A9" s="1" t="s">
        <v>10</v>
      </c>
      <c r="B9" s="1">
        <v>20</v>
      </c>
      <c r="C9" s="1">
        <v>0.8</v>
      </c>
      <c r="D9" s="1">
        <f t="shared" si="0"/>
        <v>-0.8</v>
      </c>
      <c r="E9" s="1">
        <v>0.1</v>
      </c>
      <c r="H9" s="4">
        <f t="shared" si="1"/>
        <v>0.273076586030817</v>
      </c>
      <c r="I9" s="4">
        <f t="shared" si="2"/>
        <v>0.0443067780853986</v>
      </c>
    </row>
    <row r="10" spans="1:9">
      <c r="A10" s="1" t="s">
        <v>10</v>
      </c>
      <c r="B10" s="1">
        <v>30</v>
      </c>
      <c r="C10" s="1">
        <v>0.9</v>
      </c>
      <c r="D10" s="1">
        <f t="shared" si="0"/>
        <v>-0.9</v>
      </c>
      <c r="E10" s="1">
        <v>0.2</v>
      </c>
      <c r="H10" s="4">
        <f t="shared" si="1"/>
        <v>0.232177442392434</v>
      </c>
      <c r="I10" s="4">
        <f t="shared" si="2"/>
        <v>0.0753417535061469</v>
      </c>
    </row>
    <row r="11" spans="1:9">
      <c r="A11" s="1" t="s">
        <v>10</v>
      </c>
      <c r="B11" s="1">
        <v>40</v>
      </c>
      <c r="C11" s="1">
        <v>1</v>
      </c>
      <c r="D11" s="1">
        <f t="shared" si="0"/>
        <v>-1</v>
      </c>
      <c r="E11" s="1">
        <v>0.2</v>
      </c>
      <c r="H11" s="4">
        <f t="shared" si="1"/>
        <v>0.197403832893269</v>
      </c>
      <c r="I11" s="4">
        <f t="shared" si="2"/>
        <v>0.0640576912457968</v>
      </c>
    </row>
    <row r="12" spans="1:9">
      <c r="A12" s="1" t="s">
        <v>11</v>
      </c>
      <c r="B12" s="1">
        <v>0</v>
      </c>
      <c r="C12" s="1">
        <v>0.8</v>
      </c>
      <c r="D12" s="1">
        <f t="shared" si="0"/>
        <v>-0.8</v>
      </c>
      <c r="E12" s="1">
        <v>0.2</v>
      </c>
      <c r="H12" s="4">
        <f t="shared" si="1"/>
        <v>0.273076586030817</v>
      </c>
      <c r="I12" s="4">
        <f t="shared" si="2"/>
        <v>0.0886135561707971</v>
      </c>
    </row>
    <row r="13" spans="1:9">
      <c r="A13" s="1" t="s">
        <v>11</v>
      </c>
      <c r="B13" s="1">
        <v>10</v>
      </c>
      <c r="C13" s="1">
        <v>0.6</v>
      </c>
      <c r="D13" s="1">
        <f t="shared" si="0"/>
        <v>-0.6</v>
      </c>
      <c r="E13" s="1">
        <v>0.1</v>
      </c>
      <c r="H13" s="4">
        <f t="shared" si="1"/>
        <v>0.377757720026464</v>
      </c>
      <c r="I13" s="4">
        <f t="shared" si="2"/>
        <v>0.0612913311775833</v>
      </c>
    </row>
    <row r="14" spans="1:9">
      <c r="A14" s="1" t="s">
        <v>11</v>
      </c>
      <c r="B14" s="1">
        <v>20</v>
      </c>
      <c r="C14" s="1">
        <v>0.6</v>
      </c>
      <c r="D14" s="1">
        <f t="shared" si="0"/>
        <v>-0.6</v>
      </c>
      <c r="E14" s="1">
        <v>0.2</v>
      </c>
      <c r="H14" s="4">
        <f t="shared" si="1"/>
        <v>0.377757720026464</v>
      </c>
      <c r="I14" s="4">
        <f t="shared" si="2"/>
        <v>0.122582662355167</v>
      </c>
    </row>
    <row r="15" spans="1:9">
      <c r="A15" s="1" t="s">
        <v>11</v>
      </c>
      <c r="B15" s="1">
        <v>30</v>
      </c>
      <c r="C15" s="1">
        <v>0.5</v>
      </c>
      <c r="D15" s="1">
        <f t="shared" si="0"/>
        <v>-0.5</v>
      </c>
      <c r="E15" s="1">
        <v>0.2</v>
      </c>
      <c r="H15" s="4">
        <f t="shared" si="1"/>
        <v>0.444301511243513</v>
      </c>
      <c r="I15" s="4">
        <f t="shared" si="2"/>
        <v>0.144176172317109</v>
      </c>
    </row>
    <row r="16" spans="1:9">
      <c r="A16" s="1" t="s">
        <v>11</v>
      </c>
      <c r="B16" s="1">
        <v>40</v>
      </c>
      <c r="C16" s="1">
        <v>0.6</v>
      </c>
      <c r="D16" s="1">
        <f t="shared" si="0"/>
        <v>-0.6</v>
      </c>
      <c r="E16" s="1">
        <v>0.1</v>
      </c>
      <c r="H16" s="4">
        <f t="shared" si="1"/>
        <v>0.377757720026464</v>
      </c>
      <c r="I16" s="4">
        <f t="shared" si="2"/>
        <v>0.0612913311775833</v>
      </c>
    </row>
    <row r="17" spans="1:9">
      <c r="A17" s="1" t="s">
        <v>12</v>
      </c>
      <c r="B17" s="1">
        <v>0</v>
      </c>
      <c r="C17" s="1">
        <v>0.8</v>
      </c>
      <c r="D17" s="1">
        <f t="shared" si="0"/>
        <v>-0.8</v>
      </c>
      <c r="E17" s="1">
        <v>0.2</v>
      </c>
      <c r="H17" s="4">
        <f t="shared" si="1"/>
        <v>0.273076586030817</v>
      </c>
      <c r="I17" s="4">
        <f t="shared" si="2"/>
        <v>0.0886135561707971</v>
      </c>
    </row>
    <row r="18" spans="1:9">
      <c r="A18" s="1" t="s">
        <v>12</v>
      </c>
      <c r="B18" s="1">
        <v>10</v>
      </c>
      <c r="C18" s="1">
        <v>0.8</v>
      </c>
      <c r="D18" s="1">
        <f t="shared" si="0"/>
        <v>-0.8</v>
      </c>
      <c r="E18" s="1">
        <v>0.2</v>
      </c>
      <c r="H18" s="4">
        <f t="shared" si="1"/>
        <v>0.273076586030817</v>
      </c>
      <c r="I18" s="4">
        <f t="shared" si="2"/>
        <v>0.0886135561707971</v>
      </c>
    </row>
    <row r="19" spans="1:9">
      <c r="A19" s="1" t="s">
        <v>12</v>
      </c>
      <c r="B19" s="1">
        <v>20</v>
      </c>
      <c r="C19" s="1">
        <v>0.8</v>
      </c>
      <c r="D19" s="1">
        <f t="shared" si="0"/>
        <v>-0.8</v>
      </c>
      <c r="E19" s="1">
        <v>0.2</v>
      </c>
      <c r="H19" s="4">
        <f t="shared" si="1"/>
        <v>0.273076586030817</v>
      </c>
      <c r="I19" s="4">
        <f t="shared" si="2"/>
        <v>0.0886135561707971</v>
      </c>
    </row>
    <row r="20" spans="1:9">
      <c r="A20" s="1" t="s">
        <v>12</v>
      </c>
      <c r="B20" s="1">
        <v>30</v>
      </c>
      <c r="C20" s="1">
        <v>0.5</v>
      </c>
      <c r="D20" s="1">
        <f t="shared" si="0"/>
        <v>-0.5</v>
      </c>
      <c r="E20" s="1">
        <v>0.1</v>
      </c>
      <c r="H20" s="4">
        <f t="shared" si="1"/>
        <v>0.444301511243513</v>
      </c>
      <c r="I20" s="4">
        <f t="shared" si="2"/>
        <v>0.0720880861585547</v>
      </c>
    </row>
    <row r="21" spans="1:9">
      <c r="A21" s="1" t="s">
        <v>12</v>
      </c>
      <c r="B21" s="1">
        <v>40</v>
      </c>
      <c r="C21" s="1">
        <v>0.23</v>
      </c>
      <c r="D21" s="1">
        <f t="shared" si="0"/>
        <v>-0.23</v>
      </c>
      <c r="E21" s="1">
        <v>0.003</v>
      </c>
      <c r="H21" s="4">
        <f t="shared" si="1"/>
        <v>0.688544135433489</v>
      </c>
      <c r="I21" s="4">
        <f t="shared" si="2"/>
        <v>0.00335149629494907</v>
      </c>
    </row>
    <row r="22" spans="1:9">
      <c r="A22" s="1" t="s">
        <v>13</v>
      </c>
      <c r="B22" s="1">
        <v>0</v>
      </c>
      <c r="C22" s="1">
        <v>0.8</v>
      </c>
      <c r="D22" s="1">
        <f t="shared" si="0"/>
        <v>-0.8</v>
      </c>
      <c r="E22" s="1">
        <v>0.2</v>
      </c>
      <c r="H22" s="4">
        <f t="shared" si="1"/>
        <v>0.273076586030817</v>
      </c>
      <c r="I22" s="4">
        <f t="shared" si="2"/>
        <v>0.0886135561707971</v>
      </c>
    </row>
    <row r="23" spans="1:9">
      <c r="A23" s="1" t="s">
        <v>13</v>
      </c>
      <c r="B23" s="1">
        <v>10</v>
      </c>
      <c r="C23" s="1">
        <v>0.9</v>
      </c>
      <c r="D23" s="1">
        <f t="shared" si="0"/>
        <v>-0.9</v>
      </c>
      <c r="E23" s="1">
        <v>0.2</v>
      </c>
      <c r="H23" s="4">
        <f t="shared" si="1"/>
        <v>0.232177442392434</v>
      </c>
      <c r="I23" s="4">
        <f t="shared" si="2"/>
        <v>0.0753417535061469</v>
      </c>
    </row>
    <row r="24" spans="1:9">
      <c r="A24" s="1" t="s">
        <v>13</v>
      </c>
      <c r="B24" s="1">
        <v>20</v>
      </c>
      <c r="C24" s="1">
        <v>1.2</v>
      </c>
      <c r="D24" s="1">
        <f t="shared" si="0"/>
        <v>-1.2</v>
      </c>
      <c r="E24" s="1">
        <v>0.2</v>
      </c>
      <c r="H24" s="4">
        <f t="shared" si="1"/>
        <v>0.142700895039592</v>
      </c>
      <c r="I24" s="4">
        <f t="shared" si="2"/>
        <v>0.0463065470460615</v>
      </c>
    </row>
    <row r="25" spans="1:9">
      <c r="A25" s="1" t="s">
        <v>13</v>
      </c>
      <c r="B25" s="1">
        <v>30</v>
      </c>
      <c r="C25" s="1">
        <v>1.4</v>
      </c>
      <c r="D25" s="1">
        <f t="shared" si="0"/>
        <v>-1.4</v>
      </c>
      <c r="E25" s="1">
        <v>0.01</v>
      </c>
      <c r="H25" s="4">
        <f t="shared" si="1"/>
        <v>0.103156788531612</v>
      </c>
      <c r="I25" s="4">
        <f t="shared" si="2"/>
        <v>0.00167372274712587</v>
      </c>
    </row>
    <row r="26" spans="1:9">
      <c r="A26" s="1" t="s">
        <v>13</v>
      </c>
      <c r="B26" s="1">
        <v>40</v>
      </c>
      <c r="C26" s="1">
        <v>1.4</v>
      </c>
      <c r="D26" s="1">
        <f t="shared" si="0"/>
        <v>-1.4</v>
      </c>
      <c r="E26" s="1">
        <v>0.1</v>
      </c>
      <c r="H26" s="4">
        <f t="shared" si="1"/>
        <v>0.103156788531612</v>
      </c>
      <c r="I26" s="4">
        <f t="shared" si="2"/>
        <v>0.0167372274712587</v>
      </c>
    </row>
    <row r="27" spans="8:9">
      <c r="H27" s="6"/>
      <c r="I27" s="6"/>
    </row>
    <row r="28" spans="8:9">
      <c r="H28" s="6"/>
      <c r="I28" s="6"/>
    </row>
    <row r="29" spans="8:9">
      <c r="H29" s="6"/>
      <c r="I29" s="6"/>
    </row>
    <row r="30" spans="8:9">
      <c r="H30" s="6"/>
      <c r="I30" s="6"/>
    </row>
    <row r="31" spans="8:9">
      <c r="H31" s="6"/>
      <c r="I31" s="6"/>
    </row>
    <row r="32" spans="8:9">
      <c r="H32" s="6"/>
      <c r="I32" s="6"/>
    </row>
    <row r="33" spans="8:9">
      <c r="H33" s="6"/>
      <c r="I33" s="6"/>
    </row>
    <row r="34" spans="8:9">
      <c r="H34" s="6"/>
      <c r="I34" s="6"/>
    </row>
    <row r="35" spans="8:9">
      <c r="H35" s="6"/>
      <c r="I35" s="6"/>
    </row>
    <row r="36" spans="8:9">
      <c r="H36" s="6"/>
      <c r="I36" s="6"/>
    </row>
    <row r="37" spans="8:9">
      <c r="H37" s="6"/>
      <c r="I37" s="6"/>
    </row>
    <row r="38" spans="8:9">
      <c r="H38" s="6"/>
      <c r="I38" s="6"/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tpiros</cp:lastModifiedBy>
  <dcterms:created xsi:type="dcterms:W3CDTF">2025-09-04T11:28:00Z</dcterms:created>
  <dcterms:modified xsi:type="dcterms:W3CDTF">2025-10-10T19:46:51Z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