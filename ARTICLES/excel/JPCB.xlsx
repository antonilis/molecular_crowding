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<sst xmlns="http://schemas.openxmlformats.org/spreadsheetml/2006/main" count="29" uniqueCount="10">
  <si>
    <t>Crowder</t>
  </si>
  <si>
    <t>crowder wt (%)</t>
  </si>
  <si>
    <t>ΔG°25 (kcal/mol)</t>
  </si>
  <si>
    <t>-ΔG°25 (kcal/mol)</t>
  </si>
  <si>
    <t>ΔG°25 error</t>
  </si>
  <si>
    <t>R [cal/molK]</t>
  </si>
  <si>
    <t>Temp [K]</t>
  </si>
  <si>
    <t>K [M]</t>
  </si>
  <si>
    <t>K [M] error</t>
  </si>
  <si>
    <t>PEG 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</si>
</sst>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00000000_ "/>
    <numFmt numFmtId="179" formatCode="0_ "/>
    <numFmt numFmtId="180" formatCode="0.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20212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178" fontId="2" fillId="0" borderId="0" xfId="0" applyNumberFormat="1" applyFont="1"/>
    <xf numFmtId="179" fontId="0" fillId="0" borderId="0" xfId="0" applyNumberFormat="1" applyBorder="1" applyAlignment="1">
      <alignment horizontal="center"/>
    </xf>
    <xf numFmtId="180" fontId="0" fillId="0" borderId="0" xfId="0" applyNumberFormat="1" applyFont="1" applyBorder="1" applyAlignment="1">
      <alignment horizontal="center"/>
    </xf>
    <xf numFmtId="0" fontId="1" fillId="0" borderId="0" xfId="0" applyFont="1" applyBorder="1" applyAlignment="1" quotePrefix="1">
      <alignment horizont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42</xdr:row>
      <xdr:rowOff>111760</xdr:rowOff>
    </xdr:from>
    <xdr:to>
      <xdr:col>7</xdr:col>
      <xdr:colOff>1137285</xdr:colOff>
      <xdr:row>61</xdr:row>
      <xdr:rowOff>37465</xdr:rowOff>
    </xdr:to>
    <xdr:pic>
      <xdr:nvPicPr>
        <xdr:cNvPr id="2" name="Obraz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792720"/>
          <a:ext cx="8982075" cy="340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61</xdr:row>
      <xdr:rowOff>12065</xdr:rowOff>
    </xdr:from>
    <xdr:to>
      <xdr:col>7</xdr:col>
      <xdr:colOff>908685</xdr:colOff>
      <xdr:row>81</xdr:row>
      <xdr:rowOff>50165</xdr:rowOff>
    </xdr:to>
    <xdr:pic>
      <xdr:nvPicPr>
        <xdr:cNvPr id="3" name="Obraz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1167745"/>
          <a:ext cx="8753475" cy="369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23</xdr:row>
      <xdr:rowOff>62230</xdr:rowOff>
    </xdr:from>
    <xdr:to>
      <xdr:col>7</xdr:col>
      <xdr:colOff>908685</xdr:colOff>
      <xdr:row>33</xdr:row>
      <xdr:rowOff>138430</xdr:rowOff>
    </xdr:to>
    <xdr:pic>
      <xdr:nvPicPr>
        <xdr:cNvPr id="5" name="Obraz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4268470"/>
          <a:ext cx="8753475" cy="190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187960</xdr:colOff>
      <xdr:row>33</xdr:row>
      <xdr:rowOff>111760</xdr:rowOff>
    </xdr:from>
    <xdr:to>
      <xdr:col>7</xdr:col>
      <xdr:colOff>562610</xdr:colOff>
      <xdr:row>42</xdr:row>
      <xdr:rowOff>27940</xdr:rowOff>
    </xdr:to>
    <xdr:pic>
      <xdr:nvPicPr>
        <xdr:cNvPr id="6" name="Obraz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7960" y="6146800"/>
          <a:ext cx="8220075" cy="1562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zoomScale="85" zoomScaleNormal="85" workbookViewId="0">
      <selection activeCell="F11" sqref="F11"/>
    </sheetView>
  </sheetViews>
  <sheetFormatPr defaultColWidth="9" defaultRowHeight="14.4"/>
  <cols>
    <col min="1" max="1" width="20" style="1" customWidth="1"/>
    <col min="2" max="2" width="15.1111111111111" style="1" customWidth="1"/>
    <col min="3" max="3" width="16.3333333333333" style="1" customWidth="1"/>
    <col min="4" max="4" width="17.8981481481481" style="1" customWidth="1"/>
    <col min="5" max="5" width="14.3333333333333" style="1" customWidth="1"/>
    <col min="6" max="6" width="21.8333333333333" style="1" customWidth="1"/>
    <col min="7" max="7" width="8.88888888888889" style="1"/>
    <col min="8" max="8" width="17.1203703703704" style="1" customWidth="1"/>
    <col min="9" max="9" width="29.8055555555556" style="1" customWidth="1"/>
    <col min="10" max="10" width="14.1111111111111" style="1"/>
    <col min="11" max="16372" width="8.88888888888889" style="1"/>
    <col min="16373" max="16384" width="9" style="1"/>
  </cols>
  <sheetData>
    <row r="1" spans="1:9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>
        <v>0</v>
      </c>
      <c r="C2" s="1">
        <v>-10.6</v>
      </c>
      <c r="D2" s="1">
        <f>C2*(-1)</f>
        <v>10.6</v>
      </c>
      <c r="E2" s="1">
        <v>0.2</v>
      </c>
      <c r="F2" s="3">
        <v>1.98720425864083</v>
      </c>
      <c r="G2" s="1">
        <v>298.15</v>
      </c>
      <c r="H2" s="4">
        <f>EXP(D2/(298.15*$F$2)*1000)</f>
        <v>58864562.219159</v>
      </c>
      <c r="I2" s="4">
        <f>H2/($F$2*298.15)*1000*E2</f>
        <v>19870399.1544755</v>
      </c>
    </row>
    <row r="3" spans="1:9">
      <c r="A3" s="1" t="s">
        <v>9</v>
      </c>
      <c r="B3" s="1">
        <v>10</v>
      </c>
      <c r="C3" s="1">
        <v>-10</v>
      </c>
      <c r="D3" s="1">
        <f>C3*(-1)</f>
        <v>10</v>
      </c>
      <c r="E3" s="1">
        <v>0.1</v>
      </c>
      <c r="H3" s="4">
        <f>EXP(D3/(298.15*$F$2)*1000)</f>
        <v>21382125.1174755</v>
      </c>
      <c r="I3" s="4">
        <f>H3/($F$2*298.15)*1000*E3</f>
        <v>3608889.15875508</v>
      </c>
    </row>
    <row r="4" spans="1:9">
      <c r="A4" s="1" t="s">
        <v>9</v>
      </c>
      <c r="B4" s="1">
        <v>20</v>
      </c>
      <c r="C4" s="1">
        <v>-9.2</v>
      </c>
      <c r="D4" s="1">
        <f>C4*(-1)</f>
        <v>9.2</v>
      </c>
      <c r="E4" s="1">
        <v>0.1</v>
      </c>
      <c r="F4" s="2"/>
      <c r="H4" s="4">
        <f>EXP(D4/(298.15*$F$2)*1000)</f>
        <v>5541748.30570222</v>
      </c>
      <c r="I4" s="4">
        <f>H4/($F$2*298.15)*1000*E4</f>
        <v>935339.928614137</v>
      </c>
    </row>
    <row r="5" spans="1:9">
      <c r="A5" s="1" t="s">
        <v>9</v>
      </c>
      <c r="B5" s="1">
        <v>30</v>
      </c>
      <c r="C5" s="1">
        <v>-8.5</v>
      </c>
      <c r="D5" s="1">
        <f>C5*(-1)</f>
        <v>8.5</v>
      </c>
      <c r="E5" s="1">
        <v>0.3</v>
      </c>
      <c r="F5" s="5"/>
      <c r="H5" s="4">
        <f>EXP(D5/(298.15*$F$2)*1000)</f>
        <v>1700369.22676888</v>
      </c>
      <c r="I5" s="4">
        <f>H5/($F$2*298.15)*1000*E5</f>
        <v>860968.313671265</v>
      </c>
    </row>
    <row r="6" spans="1:9">
      <c r="A6" s="1" t="s">
        <v>9</v>
      </c>
      <c r="B6" s="1">
        <v>40</v>
      </c>
      <c r="C6" s="1">
        <v>-7.6</v>
      </c>
      <c r="D6" s="1">
        <f>C6*(-1)</f>
        <v>7.6</v>
      </c>
      <c r="E6" s="1">
        <v>0.2</v>
      </c>
      <c r="H6" s="4">
        <f>EXP(D6/(298.15*$F$2)*1000)</f>
        <v>372253.387515705</v>
      </c>
      <c r="I6" s="4">
        <f>H6/($F$2*298.15)*1000*E6</f>
        <v>125658.343792714</v>
      </c>
    </row>
    <row r="7" spans="1:9">
      <c r="A7" s="1" t="s">
        <v>9</v>
      </c>
      <c r="B7" s="1">
        <v>0</v>
      </c>
      <c r="C7" s="1">
        <v>-15.5</v>
      </c>
      <c r="D7" s="1">
        <f>C7*(-1)</f>
        <v>15.5</v>
      </c>
      <c r="E7" s="1">
        <v>0.1</v>
      </c>
      <c r="H7" s="4">
        <f>EXP(D7/(298.15*$F$2)*1000)</f>
        <v>229921107672.942</v>
      </c>
      <c r="I7" s="4">
        <f>H7/($F$2*298.15)*1000*E7</f>
        <v>38806235970.0478</v>
      </c>
    </row>
    <row r="8" spans="1:9">
      <c r="A8" s="1" t="s">
        <v>9</v>
      </c>
      <c r="B8" s="1">
        <v>10</v>
      </c>
      <c r="C8" s="1">
        <v>-14.7</v>
      </c>
      <c r="D8" s="1">
        <f>C8*(-1)</f>
        <v>14.7</v>
      </c>
      <c r="E8" s="1">
        <v>0.1</v>
      </c>
      <c r="H8" s="4">
        <f>EXP(D8/(298.15*$F$2)*1000)</f>
        <v>59590190492.8214</v>
      </c>
      <c r="I8" s="4">
        <f>H8/($F$2*298.15)*1000*E8</f>
        <v>10057671595.1367</v>
      </c>
    </row>
    <row r="9" spans="1:9">
      <c r="A9" s="1" t="s">
        <v>9</v>
      </c>
      <c r="B9" s="1">
        <v>20</v>
      </c>
      <c r="C9" s="1">
        <v>-13.4</v>
      </c>
      <c r="D9" s="1">
        <f>C9*(-1)</f>
        <v>13.4</v>
      </c>
      <c r="E9" s="1">
        <v>0.3</v>
      </c>
      <c r="H9" s="4">
        <f>EXP(D9/(298.15*$F$2)*1000)</f>
        <v>6641530342.41778</v>
      </c>
      <c r="I9" s="4">
        <f>H9/($F$2*298.15)*1000*E9</f>
        <v>3362885595.1327</v>
      </c>
    </row>
    <row r="10" spans="1:9">
      <c r="A10" s="1" t="s">
        <v>9</v>
      </c>
      <c r="B10" s="1">
        <v>30</v>
      </c>
      <c r="C10" s="1">
        <v>-12.6</v>
      </c>
      <c r="D10" s="1">
        <f>C10*(-1)</f>
        <v>12.6</v>
      </c>
      <c r="E10" s="1">
        <v>0.2</v>
      </c>
      <c r="H10" s="4">
        <f>EXP(D10/(298.15*$F$2)*1000)</f>
        <v>1721329817.31935</v>
      </c>
      <c r="I10" s="4">
        <f>H10/($F$2*298.15)*1000*E10</f>
        <v>581054360.334705</v>
      </c>
    </row>
    <row r="11" spans="1:9">
      <c r="A11" s="1" t="s">
        <v>9</v>
      </c>
      <c r="B11" s="1">
        <v>40</v>
      </c>
      <c r="C11" s="1">
        <v>-11.4</v>
      </c>
      <c r="D11" s="1">
        <f>C11*(-1)</f>
        <v>11.4</v>
      </c>
      <c r="E11" s="1">
        <v>0.2</v>
      </c>
      <c r="H11" s="4">
        <f>EXP(D11/(298.15*$F$2)*1000)</f>
        <v>227121364.039646</v>
      </c>
      <c r="I11" s="4">
        <f>H11/($F$2*298.15)*1000*E11</f>
        <v>76667386.7916378</v>
      </c>
    </row>
    <row r="12" spans="1:9">
      <c r="A12" s="1" t="s">
        <v>9</v>
      </c>
      <c r="B12" s="1">
        <v>0</v>
      </c>
      <c r="C12" s="1">
        <v>-10.9</v>
      </c>
      <c r="D12" s="1">
        <f t="shared" ref="D12:D21" si="0">C12*(-1)</f>
        <v>10.9</v>
      </c>
      <c r="E12" s="1">
        <v>0.1</v>
      </c>
      <c r="H12" s="4">
        <f t="shared" ref="H12:H21" si="1">EXP(D12/(298.15*$F$2)*1000)</f>
        <v>97668708.3905805</v>
      </c>
      <c r="I12" s="4">
        <f t="shared" ref="I12:I21" si="2">H12/($F$2*298.15)*1000*E12</f>
        <v>16484588.9229364</v>
      </c>
    </row>
    <row r="13" spans="1:9">
      <c r="A13" s="1" t="s">
        <v>9</v>
      </c>
      <c r="B13" s="1">
        <v>10</v>
      </c>
      <c r="C13" s="1">
        <v>-9.9</v>
      </c>
      <c r="D13" s="1">
        <f t="shared" si="0"/>
        <v>9.9</v>
      </c>
      <c r="E13" s="1">
        <v>0.1</v>
      </c>
      <c r="H13" s="4">
        <f t="shared" si="1"/>
        <v>18061356.2044474</v>
      </c>
      <c r="I13" s="4">
        <f t="shared" si="2"/>
        <v>3048407.59468625</v>
      </c>
    </row>
    <row r="14" spans="1:9">
      <c r="A14" s="1" t="s">
        <v>9</v>
      </c>
      <c r="B14" s="1">
        <v>20</v>
      </c>
      <c r="C14" s="1">
        <v>-8.9</v>
      </c>
      <c r="D14" s="1">
        <f t="shared" si="0"/>
        <v>8.9</v>
      </c>
      <c r="E14" s="1">
        <v>0.1</v>
      </c>
      <c r="H14" s="4">
        <f t="shared" si="1"/>
        <v>3339990.80482762</v>
      </c>
      <c r="I14" s="4">
        <f t="shared" si="2"/>
        <v>563725.847625532</v>
      </c>
    </row>
    <row r="15" spans="1:9">
      <c r="A15" s="1" t="s">
        <v>9</v>
      </c>
      <c r="B15" s="1">
        <v>30</v>
      </c>
      <c r="C15" s="1">
        <v>-8.2</v>
      </c>
      <c r="D15" s="1">
        <f t="shared" si="0"/>
        <v>8.2</v>
      </c>
      <c r="E15" s="1">
        <v>0.1</v>
      </c>
      <c r="H15" s="4">
        <f t="shared" si="1"/>
        <v>1024806.12054796</v>
      </c>
      <c r="I15" s="4">
        <f t="shared" si="2"/>
        <v>172967.451923134</v>
      </c>
    </row>
    <row r="16" spans="1:9">
      <c r="A16" s="1" t="s">
        <v>9</v>
      </c>
      <c r="B16" s="1">
        <v>40</v>
      </c>
      <c r="C16" s="1">
        <v>-7.4</v>
      </c>
      <c r="D16" s="1">
        <f t="shared" si="0"/>
        <v>7.4</v>
      </c>
      <c r="E16" s="1">
        <v>0.1</v>
      </c>
      <c r="H16" s="4">
        <f t="shared" si="1"/>
        <v>265605.853067351</v>
      </c>
      <c r="I16" s="4">
        <f t="shared" si="2"/>
        <v>44829.1307982876</v>
      </c>
    </row>
    <row r="17" spans="1:9">
      <c r="A17" s="1" t="s">
        <v>9</v>
      </c>
      <c r="B17" s="1">
        <v>0</v>
      </c>
      <c r="C17" s="1">
        <v>-12</v>
      </c>
      <c r="D17" s="1">
        <f t="shared" si="0"/>
        <v>12</v>
      </c>
      <c r="E17" s="1">
        <v>0.1</v>
      </c>
      <c r="H17" s="4">
        <f t="shared" si="1"/>
        <v>625260566.54141</v>
      </c>
      <c r="I17" s="4">
        <f t="shared" si="2"/>
        <v>105531890.192904</v>
      </c>
    </row>
    <row r="18" spans="1:9">
      <c r="A18" s="1" t="s">
        <v>9</v>
      </c>
      <c r="B18" s="1">
        <v>10</v>
      </c>
      <c r="C18" s="1">
        <v>-11.1</v>
      </c>
      <c r="D18" s="1">
        <f t="shared" si="0"/>
        <v>11.1</v>
      </c>
      <c r="E18" s="1">
        <v>0.2</v>
      </c>
      <c r="H18" s="4">
        <f t="shared" si="1"/>
        <v>136885189.587512</v>
      </c>
      <c r="I18" s="4">
        <f t="shared" si="2"/>
        <v>46207144.8915766</v>
      </c>
    </row>
    <row r="19" spans="1:9">
      <c r="A19" s="1" t="s">
        <v>9</v>
      </c>
      <c r="B19" s="1">
        <v>20</v>
      </c>
      <c r="C19" s="1">
        <v>-10.2</v>
      </c>
      <c r="D19" s="1">
        <f t="shared" si="0"/>
        <v>10.2</v>
      </c>
      <c r="E19" s="1">
        <v>0.3</v>
      </c>
      <c r="H19" s="4">
        <f t="shared" si="1"/>
        <v>29967594.5215203</v>
      </c>
      <c r="I19" s="4">
        <f t="shared" si="2"/>
        <v>15173851.0164678</v>
      </c>
    </row>
    <row r="20" spans="1:9">
      <c r="A20" s="1" t="s">
        <v>9</v>
      </c>
      <c r="B20" s="1">
        <v>30</v>
      </c>
      <c r="C20" s="1">
        <v>-9.4</v>
      </c>
      <c r="D20" s="1">
        <f t="shared" si="0"/>
        <v>9.4</v>
      </c>
      <c r="E20" s="1">
        <v>0.4</v>
      </c>
      <c r="H20" s="4">
        <f t="shared" si="1"/>
        <v>7766901.80481061</v>
      </c>
      <c r="I20" s="4">
        <f t="shared" si="2"/>
        <v>5243611.20636931</v>
      </c>
    </row>
    <row r="21" spans="1:9">
      <c r="A21" s="1" t="s">
        <v>9</v>
      </c>
      <c r="B21" s="1">
        <v>40</v>
      </c>
      <c r="C21" s="1">
        <v>-8.5</v>
      </c>
      <c r="D21" s="1">
        <f t="shared" si="0"/>
        <v>8.5</v>
      </c>
      <c r="E21" s="1">
        <v>0.3</v>
      </c>
      <c r="H21" s="4">
        <f t="shared" si="1"/>
        <v>1700369.22676888</v>
      </c>
      <c r="I21" s="4">
        <f t="shared" si="2"/>
        <v>860968.313671265</v>
      </c>
    </row>
    <row r="22" spans="8:9">
      <c r="H22" s="4"/>
      <c r="I22" s="4"/>
    </row>
    <row r="23" spans="8:9">
      <c r="H23" s="4"/>
      <c r="I23" s="4"/>
    </row>
    <row r="24" spans="8:9">
      <c r="H24" s="4"/>
      <c r="I24" s="4"/>
    </row>
    <row r="25" spans="8:9">
      <c r="H25" s="4"/>
      <c r="I25" s="4"/>
    </row>
    <row r="26" spans="8:9">
      <c r="H26" s="4"/>
      <c r="I26" s="4"/>
    </row>
    <row r="27" spans="8:9">
      <c r="H27" s="4"/>
      <c r="I27" s="4"/>
    </row>
    <row r="28" spans="8:9">
      <c r="H28" s="4"/>
      <c r="I28" s="4"/>
    </row>
    <row r="29" spans="8:9">
      <c r="H29" s="4"/>
      <c r="I29" s="4"/>
    </row>
    <row r="30" spans="8:9">
      <c r="H30" s="4"/>
      <c r="I30" s="4"/>
    </row>
    <row r="31" spans="8:9">
      <c r="H31" s="4"/>
      <c r="I31" s="4"/>
    </row>
    <row r="32" spans="8:9">
      <c r="H32" s="4"/>
      <c r="I32" s="4"/>
    </row>
    <row r="33" spans="8:9">
      <c r="H33" s="4"/>
      <c r="I33" s="4"/>
    </row>
    <row r="34" spans="8:9">
      <c r="H34" s="4"/>
      <c r="I34" s="4"/>
    </row>
    <row r="35" spans="8:9">
      <c r="H35" s="4"/>
      <c r="I35" s="4"/>
    </row>
    <row r="36" spans="8:9">
      <c r="H36" s="4"/>
      <c r="I36" s="4"/>
    </row>
    <row r="37" spans="8:9">
      <c r="H37" s="4"/>
      <c r="I37" s="4"/>
    </row>
    <row r="38" spans="8:9">
      <c r="H38" s="4"/>
      <c r="I38" s="4"/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tpiros</cp:lastModifiedBy>
  <dcterms:created xsi:type="dcterms:W3CDTF">2025-09-04T11:28:00Z</dcterms:created>
  <dcterms:modified xsi:type="dcterms:W3CDTF">2025-10-13T10:33:07Z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