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4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<sst xmlns="http://schemas.openxmlformats.org/spreadsheetml/2006/main" count="176" uniqueCount="26">
  <si>
    <t>name</t>
  </si>
  <si>
    <t>crowder</t>
  </si>
  <si>
    <t>c (g/ml)</t>
  </si>
  <si>
    <t>K [M]</t>
  </si>
  <si>
    <t>K [M] error</t>
  </si>
  <si>
    <t>x1 równanie kwadratowe Ax^2+dwodyx-c=0 gdzie x to wt%</t>
  </si>
  <si>
    <t>wt%</t>
  </si>
  <si>
    <t>50 mM sodium phosphate buffer</t>
  </si>
  <si>
    <t>gestość wody (g/cm3)</t>
  </si>
  <si>
    <t>A (g/cm3)</t>
  </si>
  <si>
    <t>Ethylene glycol</t>
  </si>
  <si>
    <t>Diethylene glycol</t>
  </si>
  <si>
    <t>Triethylene glycol</t>
  </si>
  <si>
    <t>PEG 200</t>
  </si>
  <si>
    <t>PEG 400</t>
  </si>
  <si>
    <t>PEG 1000</t>
  </si>
  <si>
    <t>PEG 2050</t>
  </si>
  <si>
    <t>PEG 4600</t>
  </si>
  <si>
    <t>PEG 6000</t>
  </si>
  <si>
    <t>PEG 35000</t>
  </si>
  <si>
    <t>Ki/(errorKi)^2</t>
  </si>
  <si>
    <t>1/(errorKi)^2</t>
  </si>
  <si>
    <t xml:space="preserve">Kśrednie </t>
  </si>
  <si>
    <t>K error</t>
  </si>
  <si>
    <t>suma</t>
  </si>
  <si>
    <t xml:space="preserve">bledy policzone prawem propagacji tak jak pozostale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</si>
</sst>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_ "/>
    <numFmt numFmtId="179" formatCode="0.0_ "/>
    <numFmt numFmtId="180" formatCode="0.000000000_ "/>
    <numFmt numFmtId="181" formatCode="0.0000000000000000_ "/>
  </numFmts>
  <fonts count="21">
    <font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0" xfId="0" applyAlignment="1">
      <alignment horizontal="right"/>
    </xf>
    <xf numFmtId="178" fontId="0" fillId="0" borderId="0" xfId="0" applyNumberFormat="1"/>
    <xf numFmtId="178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179" fontId="0" fillId="0" borderId="0" xfId="0" applyNumberFormat="1"/>
    <xf numFmtId="0" fontId="1" fillId="0" borderId="0" xfId="0" applyFont="1" applyAlignment="1">
      <alignment horizontal="right"/>
    </xf>
    <xf numFmtId="180" fontId="0" fillId="0" borderId="0" xfId="0" applyNumberFormat="1"/>
    <xf numFmtId="181" fontId="0" fillId="0" borderId="0" xfId="0" applyNumberFormat="1"/>
    <xf numFmtId="0" fontId="0" fillId="2" borderId="0" xfId="0" applyFill="1"/>
    <xf numFmtId="178" fontId="0" fillId="2" borderId="0" xfId="0" applyNumberFormat="1" applyFill="1"/>
  </cellXfs>
  <cellStyles count="49">
    <cellStyle name="Normalny" xfId="0" builtinId="0"/>
    <cellStyle name="Dziesiętny" xfId="1" builtinId="3"/>
    <cellStyle name="Walutowy" xfId="2" builtinId="4"/>
    <cellStyle name="Procentowy" xfId="3" builtinId="5"/>
    <cellStyle name="Przecinek [0]" xfId="4" builtinId="6"/>
    <cellStyle name="Waluta [0]" xfId="5" builtinId="7"/>
    <cellStyle name="Hiperłącze" xfId="6" builtinId="8"/>
    <cellStyle name="Użyte hiperłącze" xfId="7" builtinId="9"/>
    <cellStyle name="Uwaga" xfId="8" builtinId="10"/>
    <cellStyle name="Tekst ostrzeżenia" xfId="9" builtinId="11"/>
    <cellStyle name="Tytuł" xfId="10" builtinId="15"/>
    <cellStyle name="Tekst objaśnienia" xfId="11" builtinId="53"/>
    <cellStyle name="Nagłówek 1" xfId="12" builtinId="16"/>
    <cellStyle name="Nagłówek 2" xfId="13" builtinId="17"/>
    <cellStyle name="Nagłówek 3" xfId="14" builtinId="18"/>
    <cellStyle name="Nagłówek 4" xfId="15" builtinId="19"/>
    <cellStyle name="Dane wejściowe" xfId="16" builtinId="20"/>
    <cellStyle name="Dane wyjściowe" xfId="17" builtinId="21"/>
    <cellStyle name="Obliczenia" xfId="18" builtinId="22"/>
    <cellStyle name="Komórka zaznaczona" xfId="19" builtinId="23"/>
    <cellStyle name="Komórka połączona" xfId="20" builtinId="24"/>
    <cellStyle name="Suma" xfId="21" builtinId="25"/>
    <cellStyle name="Dobre" xfId="22" builtinId="26"/>
    <cellStyle name="Złe" xfId="23" builtinId="27"/>
    <cellStyle name="Neutralne" xfId="24" builtinId="28"/>
    <cellStyle name="Akcent 1" xfId="25" builtinId="29"/>
    <cellStyle name="20% - Akcent 1" xfId="26" builtinId="30"/>
    <cellStyle name="40% - Akcent 1" xfId="27" builtinId="31"/>
    <cellStyle name="60% - Akcent 1" xfId="28" builtinId="32"/>
    <cellStyle name="Akcent 2" xfId="29" builtinId="33"/>
    <cellStyle name="20% - Akcent 2" xfId="30" builtinId="34"/>
    <cellStyle name="40% - Akcent 2" xfId="31" builtinId="35"/>
    <cellStyle name="60% - Akcent 2" xfId="32" builtinId="36"/>
    <cellStyle name="Akcent 3" xfId="33" builtinId="37"/>
    <cellStyle name="20% - Akcent 3" xfId="34" builtinId="38"/>
    <cellStyle name="40% - Akcent 3" xfId="35" builtinId="39"/>
    <cellStyle name="60% - Akcent 3" xfId="36" builtinId="40"/>
    <cellStyle name="Akcent 4" xfId="37" builtinId="41"/>
    <cellStyle name="20% - Akcent 4" xfId="38" builtinId="42"/>
    <cellStyle name="40% - Akcent 4" xfId="39" builtinId="43"/>
    <cellStyle name="60% - Akcent 4" xfId="40" builtinId="44"/>
    <cellStyle name="Akcent 5" xfId="41" builtinId="45"/>
    <cellStyle name="20% - Akcent 5" xfId="42" builtinId="46"/>
    <cellStyle name="40% - Akcent 5" xfId="43" builtinId="47"/>
    <cellStyle name="60% - Akcent 5" xfId="44" builtinId="48"/>
    <cellStyle name="Akcent 6" xfId="45" builtinId="49"/>
    <cellStyle name="20% - Akcent 6" xfId="46" builtinId="50"/>
    <cellStyle name="40% - Akcent 6" xfId="47" builtinId="51"/>
    <cellStyle name="60% - Akcent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9"/>
  <sheetViews>
    <sheetView tabSelected="1" zoomScale="85" zoomScaleNormal="85" topLeftCell="A53" workbookViewId="0">
      <selection activeCell="B78" sqref="B78"/>
    </sheetView>
  </sheetViews>
  <sheetFormatPr defaultColWidth="9" defaultRowHeight="14.4"/>
  <cols>
    <col min="1" max="1" width="21.2222222222222" customWidth="1"/>
    <col min="2" max="2" width="17" customWidth="1"/>
    <col min="3" max="4" width="17.6666666666667" customWidth="1"/>
    <col min="5" max="5" width="11.2222222222222" customWidth="1"/>
    <col min="6" max="6" width="15.5555555555556" style="1" customWidth="1"/>
    <col min="7" max="7" width="20.787037037037" customWidth="1"/>
    <col min="8" max="8" width="14.111111111111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H1" t="s">
        <v>6</v>
      </c>
    </row>
    <row r="2" spans="1:6">
      <c r="A2" t="s">
        <v>7</v>
      </c>
      <c r="B2" t="s">
        <v>7</v>
      </c>
      <c r="C2">
        <v>0</v>
      </c>
      <c r="D2" s="2">
        <v>31847133.7579618</v>
      </c>
      <c r="E2" s="2">
        <v>2637023.81435352</v>
      </c>
      <c r="F2" s="3"/>
    </row>
    <row r="3" spans="1:6">
      <c r="A3" t="s">
        <v>7</v>
      </c>
      <c r="B3" t="s">
        <v>7</v>
      </c>
      <c r="C3">
        <v>0</v>
      </c>
      <c r="D3" s="2">
        <v>28409090.9090909</v>
      </c>
      <c r="E3" s="2">
        <v>2179106.40495868</v>
      </c>
      <c r="F3" s="4" t="s">
        <v>8</v>
      </c>
    </row>
    <row r="4" spans="1:6">
      <c r="A4" t="s">
        <v>7</v>
      </c>
      <c r="B4" t="s">
        <v>7</v>
      </c>
      <c r="C4">
        <v>0</v>
      </c>
      <c r="D4" s="2">
        <v>33557046.9798658</v>
      </c>
      <c r="E4" s="2">
        <v>1351290.4824107</v>
      </c>
      <c r="F4">
        <v>0.997</v>
      </c>
    </row>
    <row r="5" spans="1:6">
      <c r="A5" t="s">
        <v>7</v>
      </c>
      <c r="B5" t="s">
        <v>7</v>
      </c>
      <c r="C5">
        <v>0</v>
      </c>
      <c r="D5" s="2">
        <v>34482758.6206897</v>
      </c>
      <c r="E5" s="2">
        <v>3448275.86206897</v>
      </c>
      <c r="F5" s="1" t="s">
        <v>9</v>
      </c>
    </row>
    <row r="6" spans="1:8">
      <c r="A6" t="s">
        <v>10</v>
      </c>
      <c r="B6" t="s">
        <v>10</v>
      </c>
      <c r="C6">
        <v>0.05</v>
      </c>
      <c r="D6" s="2">
        <v>42200000</v>
      </c>
      <c r="E6">
        <v>2300000</v>
      </c>
      <c r="F6" s="1">
        <v>0.00094</v>
      </c>
      <c r="G6">
        <f>(-0.997+SQRT(0.997^2+4*F6*C6))/(2*F6)</f>
        <v>0.0501480803007606</v>
      </c>
      <c r="H6" s="5">
        <f>100*G6</f>
        <v>5.01480803007606</v>
      </c>
    </row>
    <row r="7" spans="1:8">
      <c r="A7" t="s">
        <v>10</v>
      </c>
      <c r="B7" t="s">
        <v>10</v>
      </c>
      <c r="C7">
        <v>0.1</v>
      </c>
      <c r="D7">
        <v>58800000</v>
      </c>
      <c r="E7">
        <v>2400000</v>
      </c>
      <c r="F7" s="1">
        <v>0.00094</v>
      </c>
      <c r="G7">
        <f t="shared" ref="G7:G32" si="0">(-0.997+SQRT(0.997^2+4*F7*C7))/(2*F7)</f>
        <v>0.100291419391496</v>
      </c>
      <c r="H7" s="5">
        <f t="shared" ref="H7:H38" si="1">100*G7</f>
        <v>10.0291419391496</v>
      </c>
    </row>
    <row r="8" spans="1:8">
      <c r="A8" t="s">
        <v>10</v>
      </c>
      <c r="B8" t="s">
        <v>10</v>
      </c>
      <c r="C8">
        <v>0.151</v>
      </c>
      <c r="D8">
        <v>61700000</v>
      </c>
      <c r="E8">
        <v>2300000</v>
      </c>
      <c r="F8" s="1">
        <v>0.00094</v>
      </c>
      <c r="G8">
        <f t="shared" si="0"/>
        <v>0.151432742263898</v>
      </c>
      <c r="H8" s="5">
        <f t="shared" si="1"/>
        <v>15.1432742263898</v>
      </c>
    </row>
    <row r="9" spans="1:8">
      <c r="A9" t="s">
        <v>10</v>
      </c>
      <c r="B9" t="s">
        <v>10</v>
      </c>
      <c r="C9">
        <v>0.201</v>
      </c>
      <c r="D9">
        <v>77000000</v>
      </c>
      <c r="E9">
        <v>5000000</v>
      </c>
      <c r="F9" s="1">
        <v>0.00094</v>
      </c>
      <c r="G9">
        <f t="shared" si="0"/>
        <v>0.201566508210819</v>
      </c>
      <c r="H9" s="5">
        <f t="shared" si="1"/>
        <v>20.1566508210819</v>
      </c>
    </row>
    <row r="10" spans="1:8">
      <c r="A10" t="s">
        <v>10</v>
      </c>
      <c r="B10" t="s">
        <v>10</v>
      </c>
      <c r="C10">
        <v>0.251</v>
      </c>
      <c r="D10">
        <v>76300000</v>
      </c>
      <c r="E10">
        <v>3500000</v>
      </c>
      <c r="F10" s="1">
        <v>0.00094</v>
      </c>
      <c r="G10">
        <f t="shared" si="0"/>
        <v>0.251695537006289</v>
      </c>
      <c r="H10" s="5">
        <f t="shared" si="1"/>
        <v>25.1695537006289</v>
      </c>
    </row>
    <row r="11" spans="1:8">
      <c r="A11" t="s">
        <v>10</v>
      </c>
      <c r="B11" t="s">
        <v>10</v>
      </c>
      <c r="C11">
        <v>0.301</v>
      </c>
      <c r="D11">
        <v>67000000</v>
      </c>
      <c r="E11">
        <v>5000000</v>
      </c>
      <c r="F11" s="1">
        <v>0.00094</v>
      </c>
      <c r="G11">
        <f t="shared" si="0"/>
        <v>0.301819829992792</v>
      </c>
      <c r="H11" s="5">
        <f t="shared" si="1"/>
        <v>30.1819829992792</v>
      </c>
    </row>
    <row r="12" spans="1:8">
      <c r="A12" t="s">
        <v>10</v>
      </c>
      <c r="B12" t="s">
        <v>10</v>
      </c>
      <c r="C12">
        <v>0.351</v>
      </c>
      <c r="D12">
        <v>59000000</v>
      </c>
      <c r="E12">
        <v>5000000</v>
      </c>
      <c r="F12" s="1">
        <v>0.00094</v>
      </c>
      <c r="G12">
        <f t="shared" si="0"/>
        <v>0.351939388512339</v>
      </c>
      <c r="H12" s="5">
        <f t="shared" si="1"/>
        <v>35.1939388512339</v>
      </c>
    </row>
    <row r="13" spans="1:8">
      <c r="A13" t="s">
        <v>10</v>
      </c>
      <c r="B13" t="s">
        <v>10</v>
      </c>
      <c r="C13">
        <v>0.401</v>
      </c>
      <c r="D13">
        <v>53000000</v>
      </c>
      <c r="E13">
        <v>6000000</v>
      </c>
      <c r="F13" s="1">
        <v>0.00094</v>
      </c>
      <c r="G13">
        <f t="shared" si="0"/>
        <v>0.402054213906234</v>
      </c>
      <c r="H13" s="5">
        <f t="shared" si="1"/>
        <v>40.2054213906233</v>
      </c>
    </row>
    <row r="14" spans="1:8">
      <c r="A14" t="s">
        <v>11</v>
      </c>
      <c r="B14" t="s">
        <v>11</v>
      </c>
      <c r="C14">
        <v>0.05</v>
      </c>
      <c r="D14">
        <v>39100000</v>
      </c>
      <c r="E14">
        <v>2700000</v>
      </c>
      <c r="F14" s="6">
        <v>0.001</v>
      </c>
      <c r="G14">
        <f t="shared" si="0"/>
        <v>0.0501479289721218</v>
      </c>
      <c r="H14" s="5">
        <f t="shared" si="1"/>
        <v>5.01479289721218</v>
      </c>
    </row>
    <row r="15" spans="1:8">
      <c r="A15" t="s">
        <v>11</v>
      </c>
      <c r="B15" t="s">
        <v>11</v>
      </c>
      <c r="C15">
        <v>0.101</v>
      </c>
      <c r="D15">
        <v>46100000</v>
      </c>
      <c r="E15">
        <v>3400000</v>
      </c>
      <c r="F15" s="6">
        <v>0.001</v>
      </c>
      <c r="G15">
        <f t="shared" si="0"/>
        <v>0.101293620463849</v>
      </c>
      <c r="H15" s="5">
        <f t="shared" si="1"/>
        <v>10.1293620463849</v>
      </c>
    </row>
    <row r="16" spans="1:8">
      <c r="A16" t="s">
        <v>11</v>
      </c>
      <c r="B16" t="s">
        <v>11</v>
      </c>
      <c r="C16">
        <v>0.151</v>
      </c>
      <c r="D16">
        <v>45700000</v>
      </c>
      <c r="E16">
        <v>2300000</v>
      </c>
      <c r="F16" s="6">
        <v>0.001</v>
      </c>
      <c r="G16">
        <f t="shared" si="0"/>
        <v>0.15143136263035</v>
      </c>
      <c r="H16" s="5">
        <f t="shared" si="1"/>
        <v>15.143136263035</v>
      </c>
    </row>
    <row r="17" spans="1:8">
      <c r="A17" t="s">
        <v>11</v>
      </c>
      <c r="B17" t="s">
        <v>11</v>
      </c>
      <c r="C17">
        <v>0.201</v>
      </c>
      <c r="D17">
        <v>43000000</v>
      </c>
      <c r="E17">
        <v>5000000</v>
      </c>
      <c r="F17" s="6">
        <v>0.001</v>
      </c>
      <c r="G17">
        <f t="shared" si="0"/>
        <v>0.201564064120419</v>
      </c>
      <c r="H17" s="5">
        <f t="shared" si="1"/>
        <v>20.1564064120419</v>
      </c>
    </row>
    <row r="18" spans="1:8">
      <c r="A18" t="s">
        <v>11</v>
      </c>
      <c r="B18" t="s">
        <v>11</v>
      </c>
      <c r="C18">
        <v>0.252</v>
      </c>
      <c r="D18">
        <v>40700000</v>
      </c>
      <c r="E18">
        <v>2500000</v>
      </c>
      <c r="F18" s="6">
        <v>0.001</v>
      </c>
      <c r="G18">
        <f t="shared" si="0"/>
        <v>0.252694228311923</v>
      </c>
      <c r="H18" s="5">
        <f t="shared" si="1"/>
        <v>25.2694228311923</v>
      </c>
    </row>
    <row r="19" spans="1:8">
      <c r="A19" t="s">
        <v>11</v>
      </c>
      <c r="B19" t="s">
        <v>11</v>
      </c>
      <c r="C19">
        <v>0.302</v>
      </c>
      <c r="D19">
        <v>38500000</v>
      </c>
      <c r="E19">
        <v>1000000</v>
      </c>
      <c r="F19" s="6">
        <v>0.001</v>
      </c>
      <c r="G19">
        <f t="shared" si="0"/>
        <v>0.30281675227134</v>
      </c>
      <c r="H19" s="5">
        <f t="shared" si="1"/>
        <v>30.281675227134</v>
      </c>
    </row>
    <row r="20" spans="1:8">
      <c r="A20" t="s">
        <v>11</v>
      </c>
      <c r="B20" t="s">
        <v>11</v>
      </c>
      <c r="C20">
        <v>0.352</v>
      </c>
      <c r="D20">
        <v>28500000</v>
      </c>
      <c r="E20">
        <v>1700000</v>
      </c>
      <c r="F20" s="6">
        <v>0.001</v>
      </c>
      <c r="G20">
        <f t="shared" si="0"/>
        <v>0.352934240142544</v>
      </c>
      <c r="H20" s="5">
        <f t="shared" si="1"/>
        <v>35.2934240142544</v>
      </c>
    </row>
    <row r="21" spans="1:8">
      <c r="A21" t="s">
        <v>11</v>
      </c>
      <c r="B21" t="s">
        <v>11</v>
      </c>
      <c r="C21">
        <v>0.402</v>
      </c>
      <c r="D21">
        <v>26200000</v>
      </c>
      <c r="E21">
        <v>1400000</v>
      </c>
      <c r="F21" s="6">
        <v>0.001</v>
      </c>
      <c r="G21">
        <f t="shared" si="0"/>
        <v>0.403046693443265</v>
      </c>
      <c r="H21" s="5">
        <f t="shared" si="1"/>
        <v>40.3046693443265</v>
      </c>
    </row>
    <row r="22" spans="1:8">
      <c r="A22" t="s">
        <v>12</v>
      </c>
      <c r="B22" t="s">
        <v>12</v>
      </c>
      <c r="C22">
        <v>0.045</v>
      </c>
      <c r="D22">
        <v>32300000</v>
      </c>
      <c r="E22">
        <v>3000000</v>
      </c>
      <c r="F22" s="6">
        <v>0.0011</v>
      </c>
      <c r="G22">
        <f t="shared" si="0"/>
        <v>0.0451331587740901</v>
      </c>
      <c r="H22" s="5">
        <f t="shared" si="1"/>
        <v>4.51331587740901</v>
      </c>
    </row>
    <row r="23" spans="1:8">
      <c r="A23" t="s">
        <v>12</v>
      </c>
      <c r="B23" t="s">
        <v>12</v>
      </c>
      <c r="C23">
        <v>0.09</v>
      </c>
      <c r="D23">
        <v>39500000</v>
      </c>
      <c r="E23">
        <v>3300000</v>
      </c>
      <c r="F23" s="6">
        <v>0.0011</v>
      </c>
      <c r="G23">
        <f t="shared" si="0"/>
        <v>0.0902618235541648</v>
      </c>
      <c r="H23" s="5">
        <f t="shared" si="1"/>
        <v>9.02618235541648</v>
      </c>
    </row>
    <row r="24" spans="1:8">
      <c r="A24" t="s">
        <v>12</v>
      </c>
      <c r="B24" t="s">
        <v>12</v>
      </c>
      <c r="C24">
        <v>0.135</v>
      </c>
      <c r="D24">
        <v>43100000</v>
      </c>
      <c r="E24">
        <v>2200000</v>
      </c>
      <c r="F24" s="6">
        <v>0.0011</v>
      </c>
      <c r="G24">
        <f t="shared" si="0"/>
        <v>0.135385995682433</v>
      </c>
      <c r="H24" s="5">
        <f t="shared" si="1"/>
        <v>13.5385995682433</v>
      </c>
    </row>
    <row r="25" spans="1:8">
      <c r="A25" t="s">
        <v>12</v>
      </c>
      <c r="B25" t="s">
        <v>12</v>
      </c>
      <c r="C25">
        <v>0.18</v>
      </c>
      <c r="D25">
        <v>47000000</v>
      </c>
      <c r="E25">
        <v>4000000</v>
      </c>
      <c r="F25" s="6">
        <v>0.0011</v>
      </c>
      <c r="G25">
        <f t="shared" si="0"/>
        <v>0.180505676500348</v>
      </c>
      <c r="H25" s="5">
        <f t="shared" si="1"/>
        <v>18.0505676500348</v>
      </c>
    </row>
    <row r="26" spans="1:8">
      <c r="A26" t="s">
        <v>12</v>
      </c>
      <c r="B26" t="s">
        <v>12</v>
      </c>
      <c r="C26">
        <v>0.225</v>
      </c>
      <c r="D26">
        <v>50000000</v>
      </c>
      <c r="E26">
        <v>2800000</v>
      </c>
      <c r="F26" s="6">
        <v>0.0011</v>
      </c>
      <c r="G26">
        <f t="shared" si="0"/>
        <v>0.225620867348705</v>
      </c>
      <c r="H26" s="5">
        <f t="shared" si="1"/>
        <v>22.5620867348705</v>
      </c>
    </row>
    <row r="27" spans="1:8">
      <c r="A27" t="s">
        <v>12</v>
      </c>
      <c r="B27" t="s">
        <v>12</v>
      </c>
      <c r="C27">
        <v>0.27</v>
      </c>
      <c r="D27">
        <v>35000000</v>
      </c>
      <c r="E27">
        <v>5000000</v>
      </c>
      <c r="F27" s="6">
        <v>0.0011</v>
      </c>
      <c r="G27">
        <f t="shared" si="0"/>
        <v>0.270731569567644</v>
      </c>
      <c r="H27" s="5">
        <f t="shared" si="1"/>
        <v>27.0731569567644</v>
      </c>
    </row>
    <row r="28" spans="1:8">
      <c r="A28" t="s">
        <v>12</v>
      </c>
      <c r="B28" t="s">
        <v>12</v>
      </c>
      <c r="C28">
        <v>0.315</v>
      </c>
      <c r="D28">
        <v>34000000</v>
      </c>
      <c r="E28">
        <v>1900000</v>
      </c>
      <c r="F28" s="6">
        <v>0.0011</v>
      </c>
      <c r="G28">
        <f t="shared" si="0"/>
        <v>0.315837784496751</v>
      </c>
      <c r="H28" s="5">
        <f t="shared" si="1"/>
        <v>31.5837784496751</v>
      </c>
    </row>
    <row r="29" spans="1:8">
      <c r="A29" t="s">
        <v>12</v>
      </c>
      <c r="B29" t="s">
        <v>12</v>
      </c>
      <c r="C29">
        <v>0.36</v>
      </c>
      <c r="D29">
        <v>29100000</v>
      </c>
      <c r="E29">
        <v>1900000</v>
      </c>
      <c r="F29" s="6">
        <v>0.0011</v>
      </c>
      <c r="G29">
        <f t="shared" si="0"/>
        <v>0.360939513474803</v>
      </c>
      <c r="H29" s="5">
        <f t="shared" si="1"/>
        <v>36.0939513474803</v>
      </c>
    </row>
    <row r="30" spans="1:8">
      <c r="A30" t="s">
        <v>13</v>
      </c>
      <c r="B30" t="s">
        <v>13</v>
      </c>
      <c r="C30">
        <v>0.045</v>
      </c>
      <c r="D30">
        <v>36000000</v>
      </c>
      <c r="E30">
        <v>2300000</v>
      </c>
      <c r="F30" s="1">
        <v>0.0012</v>
      </c>
      <c r="G30">
        <f t="shared" si="0"/>
        <v>0.0451329544831625</v>
      </c>
      <c r="H30" s="5">
        <f t="shared" si="1"/>
        <v>4.51329544831625</v>
      </c>
    </row>
    <row r="31" spans="1:8">
      <c r="A31" t="s">
        <v>13</v>
      </c>
      <c r="B31" t="s">
        <v>13</v>
      </c>
      <c r="C31">
        <v>0.09</v>
      </c>
      <c r="D31">
        <v>36100000</v>
      </c>
      <c r="E31">
        <v>2200000</v>
      </c>
      <c r="F31" s="1">
        <v>0.0012</v>
      </c>
      <c r="G31">
        <f t="shared" si="0"/>
        <v>0.0902610065605288</v>
      </c>
      <c r="H31" s="5">
        <f t="shared" si="1"/>
        <v>9.02610065605288</v>
      </c>
    </row>
    <row r="32" spans="1:8">
      <c r="A32" t="s">
        <v>13</v>
      </c>
      <c r="B32" t="s">
        <v>13</v>
      </c>
      <c r="C32">
        <v>0.135</v>
      </c>
      <c r="D32">
        <v>46100000</v>
      </c>
      <c r="E32">
        <v>3200000</v>
      </c>
      <c r="F32" s="1">
        <v>0.0012</v>
      </c>
      <c r="G32">
        <f t="shared" si="0"/>
        <v>0.135384157829247</v>
      </c>
      <c r="H32" s="5">
        <f t="shared" si="1"/>
        <v>13.5384157829247</v>
      </c>
    </row>
    <row r="33" spans="1:8">
      <c r="A33" t="s">
        <v>13</v>
      </c>
      <c r="B33" t="s">
        <v>13</v>
      </c>
      <c r="C33">
        <v>0.18</v>
      </c>
      <c r="D33">
        <v>49000000</v>
      </c>
      <c r="E33">
        <v>4000000</v>
      </c>
      <c r="F33" s="1">
        <v>0.0012</v>
      </c>
      <c r="G33">
        <f t="shared" ref="G33:G75" si="2">(-0.997+SQRT(0.997^2+4*F33*C33))/(2*F33)</f>
        <v>0.18050240988568</v>
      </c>
      <c r="H33" s="5">
        <f t="shared" si="1"/>
        <v>18.050240988568</v>
      </c>
    </row>
    <row r="34" spans="1:8">
      <c r="A34" t="s">
        <v>13</v>
      </c>
      <c r="B34" t="s">
        <v>13</v>
      </c>
      <c r="C34">
        <v>0.225</v>
      </c>
      <c r="D34">
        <v>54000000</v>
      </c>
      <c r="E34">
        <v>4000000</v>
      </c>
      <c r="F34" s="1">
        <v>0.0012</v>
      </c>
      <c r="G34">
        <f t="shared" si="2"/>
        <v>0.225615764325264</v>
      </c>
      <c r="H34" s="5">
        <f t="shared" si="1"/>
        <v>22.5615764325264</v>
      </c>
    </row>
    <row r="35" spans="1:8">
      <c r="A35" t="s">
        <v>13</v>
      </c>
      <c r="B35" t="s">
        <v>13</v>
      </c>
      <c r="C35">
        <v>0.27</v>
      </c>
      <c r="D35">
        <v>56500000</v>
      </c>
      <c r="E35">
        <v>3500000</v>
      </c>
      <c r="F35" s="1">
        <v>0.0012</v>
      </c>
      <c r="G35">
        <f t="shared" si="2"/>
        <v>0.27072422274251</v>
      </c>
      <c r="H35" s="5">
        <f t="shared" si="1"/>
        <v>27.072422274251</v>
      </c>
    </row>
    <row r="36" spans="1:8">
      <c r="A36" t="s">
        <v>13</v>
      </c>
      <c r="B36" t="s">
        <v>13</v>
      </c>
      <c r="C36">
        <v>0.315</v>
      </c>
      <c r="D36">
        <v>47000000</v>
      </c>
      <c r="E36">
        <v>4000000</v>
      </c>
      <c r="F36" s="1">
        <v>0.0012</v>
      </c>
      <c r="G36">
        <f t="shared" si="2"/>
        <v>0.315827786731143</v>
      </c>
      <c r="H36" s="5">
        <f t="shared" si="1"/>
        <v>31.5827786731143</v>
      </c>
    </row>
    <row r="37" spans="1:8">
      <c r="A37" t="s">
        <v>13</v>
      </c>
      <c r="B37" t="s">
        <v>13</v>
      </c>
      <c r="C37">
        <v>0.36</v>
      </c>
      <c r="D37">
        <v>54000000</v>
      </c>
      <c r="E37">
        <v>5000000</v>
      </c>
      <c r="F37" s="1">
        <v>0.0012</v>
      </c>
      <c r="G37">
        <f t="shared" si="2"/>
        <v>0.360926457884057</v>
      </c>
      <c r="H37" s="5">
        <f t="shared" si="1"/>
        <v>36.0926457884057</v>
      </c>
    </row>
    <row r="38" spans="1:8">
      <c r="A38" t="s">
        <v>14</v>
      </c>
      <c r="B38" t="s">
        <v>14</v>
      </c>
      <c r="C38">
        <v>0.051</v>
      </c>
      <c r="D38">
        <v>29400000</v>
      </c>
      <c r="E38">
        <v>2800000</v>
      </c>
      <c r="F38" s="1">
        <v>0.0013</v>
      </c>
      <c r="G38">
        <f t="shared" si="2"/>
        <v>0.0511500489209953</v>
      </c>
      <c r="H38" s="5">
        <f t="shared" si="1"/>
        <v>5.11500489209953</v>
      </c>
    </row>
    <row r="39" spans="1:8">
      <c r="A39" t="s">
        <v>14</v>
      </c>
      <c r="B39" t="s">
        <v>14</v>
      </c>
      <c r="C39">
        <v>0.101</v>
      </c>
      <c r="D39">
        <v>31700000</v>
      </c>
      <c r="E39">
        <v>3300000</v>
      </c>
      <c r="F39" s="1">
        <v>0.0013</v>
      </c>
      <c r="G39">
        <f t="shared" si="2"/>
        <v>0.101290533897753</v>
      </c>
      <c r="H39" s="5">
        <f t="shared" ref="H39:H75" si="3">100*G39</f>
        <v>10.1290533897753</v>
      </c>
    </row>
    <row r="40" spans="1:8">
      <c r="A40" t="s">
        <v>14</v>
      </c>
      <c r="B40" t="s">
        <v>14</v>
      </c>
      <c r="C40">
        <v>0.152</v>
      </c>
      <c r="D40">
        <v>41000000</v>
      </c>
      <c r="E40">
        <v>3200000</v>
      </c>
      <c r="F40" s="1">
        <v>0.0013</v>
      </c>
      <c r="G40">
        <f t="shared" si="2"/>
        <v>0.152427077013086</v>
      </c>
      <c r="H40" s="5">
        <f t="shared" si="3"/>
        <v>15.2427077013086</v>
      </c>
    </row>
    <row r="41" spans="1:8">
      <c r="A41" t="s">
        <v>14</v>
      </c>
      <c r="B41" t="s">
        <v>14</v>
      </c>
      <c r="C41">
        <v>0.203</v>
      </c>
      <c r="D41">
        <v>45500000</v>
      </c>
      <c r="E41">
        <v>3300000</v>
      </c>
      <c r="F41" s="1">
        <v>0.0013</v>
      </c>
      <c r="G41">
        <f t="shared" si="2"/>
        <v>0.203556804428876</v>
      </c>
      <c r="H41" s="5">
        <f t="shared" si="3"/>
        <v>20.3556804428876</v>
      </c>
    </row>
    <row r="42" spans="1:8">
      <c r="A42" t="s">
        <v>14</v>
      </c>
      <c r="B42" t="s">
        <v>14</v>
      </c>
      <c r="C42">
        <v>0.254</v>
      </c>
      <c r="D42">
        <v>52000000</v>
      </c>
      <c r="E42">
        <v>5000000</v>
      </c>
      <c r="F42" s="1">
        <v>0.0013</v>
      </c>
      <c r="G42">
        <f t="shared" si="2"/>
        <v>0.254679718869653</v>
      </c>
      <c r="H42" s="5">
        <f t="shared" si="3"/>
        <v>25.4679718869653</v>
      </c>
    </row>
    <row r="43" spans="1:8">
      <c r="A43" t="s">
        <v>14</v>
      </c>
      <c r="B43" t="s">
        <v>14</v>
      </c>
      <c r="C43">
        <v>0.305</v>
      </c>
      <c r="D43">
        <v>53000000</v>
      </c>
      <c r="E43">
        <v>4000000</v>
      </c>
      <c r="F43" s="1">
        <v>0.0013</v>
      </c>
      <c r="G43">
        <f t="shared" si="2"/>
        <v>0.305795823058153</v>
      </c>
      <c r="H43" s="5">
        <f t="shared" si="3"/>
        <v>30.5795823058153</v>
      </c>
    </row>
    <row r="44" spans="1:8">
      <c r="A44" t="s">
        <v>14</v>
      </c>
      <c r="B44" t="s">
        <v>14</v>
      </c>
      <c r="C44">
        <v>0.355</v>
      </c>
      <c r="D44">
        <v>56000000</v>
      </c>
      <c r="E44">
        <v>7000000</v>
      </c>
      <c r="F44" s="1">
        <v>0.0013</v>
      </c>
      <c r="G44">
        <f t="shared" si="2"/>
        <v>0.355903042058228</v>
      </c>
      <c r="H44" s="5">
        <f t="shared" si="3"/>
        <v>35.5903042058228</v>
      </c>
    </row>
    <row r="45" spans="1:8">
      <c r="A45" t="s">
        <v>14</v>
      </c>
      <c r="B45" t="s">
        <v>14</v>
      </c>
      <c r="C45">
        <v>0.406</v>
      </c>
      <c r="D45">
        <v>46000000</v>
      </c>
      <c r="E45">
        <v>6000000</v>
      </c>
      <c r="F45" s="1">
        <v>0.0013</v>
      </c>
      <c r="G45">
        <f t="shared" si="2"/>
        <v>0.407005667304749</v>
      </c>
      <c r="H45" s="5">
        <f t="shared" si="3"/>
        <v>40.7005667304749</v>
      </c>
    </row>
    <row r="46" spans="1:8">
      <c r="A46" t="s">
        <v>15</v>
      </c>
      <c r="B46" t="s">
        <v>15</v>
      </c>
      <c r="C46">
        <v>0.045</v>
      </c>
      <c r="D46">
        <v>46500000</v>
      </c>
      <c r="E46">
        <v>3000000</v>
      </c>
      <c r="F46" s="1">
        <v>0.0014</v>
      </c>
      <c r="G46">
        <f t="shared" si="2"/>
        <v>0.0451325459123662</v>
      </c>
      <c r="H46" s="5">
        <f t="shared" si="3"/>
        <v>4.51325459123662</v>
      </c>
    </row>
    <row r="47" spans="1:8">
      <c r="A47" t="s">
        <v>15</v>
      </c>
      <c r="B47" t="s">
        <v>15</v>
      </c>
      <c r="C47">
        <v>0.09</v>
      </c>
      <c r="D47">
        <v>61300000</v>
      </c>
      <c r="E47">
        <v>1900000</v>
      </c>
      <c r="F47" s="1">
        <v>0.0014</v>
      </c>
      <c r="G47">
        <f t="shared" si="2"/>
        <v>0.0902593726618907</v>
      </c>
      <c r="H47" s="5">
        <f t="shared" si="3"/>
        <v>9.02593726618907</v>
      </c>
    </row>
    <row r="48" spans="1:8">
      <c r="A48" t="s">
        <v>15</v>
      </c>
      <c r="B48" t="s">
        <v>15</v>
      </c>
      <c r="C48">
        <v>0.135</v>
      </c>
      <c r="D48">
        <v>75000000</v>
      </c>
      <c r="E48">
        <v>4000000</v>
      </c>
      <c r="F48" s="1">
        <v>0.0014</v>
      </c>
      <c r="G48">
        <f t="shared" si="2"/>
        <v>0.135380482422232</v>
      </c>
      <c r="H48" s="5">
        <f t="shared" si="3"/>
        <v>13.5380482422232</v>
      </c>
    </row>
    <row r="49" spans="1:8">
      <c r="A49" t="s">
        <v>15</v>
      </c>
      <c r="B49" t="s">
        <v>15</v>
      </c>
      <c r="C49">
        <v>0.18</v>
      </c>
      <c r="D49">
        <v>92000000</v>
      </c>
      <c r="E49">
        <v>6000000</v>
      </c>
      <c r="F49" s="1">
        <v>0.0014</v>
      </c>
      <c r="G49">
        <f t="shared" si="2"/>
        <v>0.180495877365659</v>
      </c>
      <c r="H49" s="5">
        <f t="shared" si="3"/>
        <v>18.0495877365659</v>
      </c>
    </row>
    <row r="50" spans="1:8">
      <c r="A50" t="s">
        <v>15</v>
      </c>
      <c r="B50" t="s">
        <v>15</v>
      </c>
      <c r="C50">
        <v>0.225</v>
      </c>
      <c r="D50">
        <v>102000000</v>
      </c>
      <c r="E50">
        <v>6000000</v>
      </c>
      <c r="F50" s="1">
        <v>0.0014</v>
      </c>
      <c r="G50">
        <f t="shared" si="2"/>
        <v>0.225605559663016</v>
      </c>
      <c r="H50" s="5">
        <f t="shared" si="3"/>
        <v>22.5605559663016</v>
      </c>
    </row>
    <row r="51" spans="1:8">
      <c r="A51" t="s">
        <v>15</v>
      </c>
      <c r="B51" t="s">
        <v>15</v>
      </c>
      <c r="C51">
        <v>0.27</v>
      </c>
      <c r="D51">
        <v>105000000</v>
      </c>
      <c r="E51">
        <v>10000000</v>
      </c>
      <c r="F51" s="1">
        <v>0.0014</v>
      </c>
      <c r="G51">
        <f t="shared" si="2"/>
        <v>0.270709531483837</v>
      </c>
      <c r="H51" s="5">
        <f t="shared" si="3"/>
        <v>27.0709531483837</v>
      </c>
    </row>
    <row r="52" spans="1:8">
      <c r="A52" t="s">
        <v>15</v>
      </c>
      <c r="B52" t="s">
        <v>15</v>
      </c>
      <c r="C52">
        <v>0.315</v>
      </c>
      <c r="D52">
        <v>154000000</v>
      </c>
      <c r="E52">
        <v>17000000</v>
      </c>
      <c r="F52" s="1">
        <v>0.0014</v>
      </c>
      <c r="G52">
        <f t="shared" si="2"/>
        <v>0.315807794996268</v>
      </c>
      <c r="H52" s="5">
        <f t="shared" si="3"/>
        <v>31.5807794996268</v>
      </c>
    </row>
    <row r="53" spans="1:8">
      <c r="A53" t="s">
        <v>16</v>
      </c>
      <c r="B53" t="s">
        <v>16</v>
      </c>
      <c r="C53">
        <v>0.051</v>
      </c>
      <c r="D53">
        <v>47000000</v>
      </c>
      <c r="E53">
        <v>4000000</v>
      </c>
      <c r="F53" s="6">
        <v>0.00147</v>
      </c>
      <c r="G53">
        <f t="shared" si="2"/>
        <v>0.0511496028742737</v>
      </c>
      <c r="H53" s="5">
        <f t="shared" si="3"/>
        <v>5.11496028742737</v>
      </c>
    </row>
    <row r="54" spans="1:8">
      <c r="A54" t="s">
        <v>16</v>
      </c>
      <c r="B54" t="s">
        <v>16</v>
      </c>
      <c r="C54">
        <v>0.101</v>
      </c>
      <c r="D54">
        <v>44600000</v>
      </c>
      <c r="E54">
        <v>3200000</v>
      </c>
      <c r="F54" s="6">
        <v>0.00147</v>
      </c>
      <c r="G54">
        <f t="shared" si="2"/>
        <v>0.101288785010614</v>
      </c>
      <c r="H54" s="5">
        <f t="shared" si="3"/>
        <v>10.1288785010614</v>
      </c>
    </row>
    <row r="55" spans="1:8">
      <c r="A55" t="s">
        <v>16</v>
      </c>
      <c r="B55" t="s">
        <v>16</v>
      </c>
      <c r="C55">
        <v>0.101</v>
      </c>
      <c r="D55">
        <v>44000000</v>
      </c>
      <c r="E55">
        <v>5000000</v>
      </c>
      <c r="F55" s="6">
        <v>0.00147</v>
      </c>
      <c r="G55">
        <f t="shared" si="2"/>
        <v>0.101288785010614</v>
      </c>
      <c r="H55" s="5">
        <f t="shared" si="3"/>
        <v>10.1288785010614</v>
      </c>
    </row>
    <row r="56" spans="1:8">
      <c r="A56" t="s">
        <v>16</v>
      </c>
      <c r="B56" t="s">
        <v>16</v>
      </c>
      <c r="C56">
        <v>0.152</v>
      </c>
      <c r="D56">
        <v>68000000</v>
      </c>
      <c r="E56">
        <v>5000000</v>
      </c>
      <c r="F56" s="6">
        <v>0.00147</v>
      </c>
      <c r="G56">
        <f t="shared" si="2"/>
        <v>0.152423117125628</v>
      </c>
      <c r="H56" s="5">
        <f t="shared" si="3"/>
        <v>15.2423117125628</v>
      </c>
    </row>
    <row r="57" spans="1:8">
      <c r="A57" t="s">
        <v>16</v>
      </c>
      <c r="B57" t="s">
        <v>16</v>
      </c>
      <c r="C57">
        <v>0.203</v>
      </c>
      <c r="D57">
        <v>85000000</v>
      </c>
      <c r="E57">
        <v>7000000</v>
      </c>
      <c r="F57" s="6">
        <v>0.00147</v>
      </c>
      <c r="G57">
        <f t="shared" si="2"/>
        <v>0.203549743458219</v>
      </c>
      <c r="H57" s="5">
        <f t="shared" si="3"/>
        <v>20.3549743458219</v>
      </c>
    </row>
    <row r="58" spans="1:8">
      <c r="A58" t="s">
        <v>16</v>
      </c>
      <c r="B58" t="s">
        <v>16</v>
      </c>
      <c r="C58">
        <v>0.253</v>
      </c>
      <c r="D58">
        <v>91000000</v>
      </c>
      <c r="E58">
        <v>12000000</v>
      </c>
      <c r="F58" s="6">
        <v>0.00153</v>
      </c>
      <c r="G58">
        <f t="shared" si="2"/>
        <v>0.253662540253764</v>
      </c>
      <c r="H58" s="5">
        <f t="shared" si="3"/>
        <v>25.3662540253764</v>
      </c>
    </row>
    <row r="59" spans="1:8">
      <c r="A59" t="s">
        <v>17</v>
      </c>
      <c r="B59" t="s">
        <v>17</v>
      </c>
      <c r="C59">
        <v>0.028</v>
      </c>
      <c r="D59">
        <v>50000000</v>
      </c>
      <c r="E59">
        <v>3300000</v>
      </c>
      <c r="F59" s="6">
        <v>0.00153</v>
      </c>
      <c r="G59">
        <f t="shared" si="2"/>
        <v>0.0280830424818159</v>
      </c>
      <c r="H59" s="5">
        <f t="shared" si="3"/>
        <v>2.80830424818159</v>
      </c>
    </row>
    <row r="60" spans="1:8">
      <c r="A60" t="s">
        <v>17</v>
      </c>
      <c r="B60" t="s">
        <v>17</v>
      </c>
      <c r="C60">
        <v>0.056</v>
      </c>
      <c r="D60">
        <v>65400000</v>
      </c>
      <c r="E60">
        <v>2600000</v>
      </c>
      <c r="F60" s="6">
        <v>0.00153</v>
      </c>
      <c r="G60">
        <f t="shared" si="2"/>
        <v>0.0561636648278988</v>
      </c>
      <c r="H60" s="5">
        <f t="shared" si="3"/>
        <v>5.61636648278988</v>
      </c>
    </row>
    <row r="61" spans="1:8">
      <c r="A61" t="s">
        <v>17</v>
      </c>
      <c r="B61" t="s">
        <v>17</v>
      </c>
      <c r="C61">
        <v>0.084</v>
      </c>
      <c r="D61">
        <v>88000000</v>
      </c>
      <c r="E61">
        <v>6000000</v>
      </c>
      <c r="F61" s="6">
        <v>0.00153</v>
      </c>
      <c r="G61">
        <f t="shared" si="2"/>
        <v>0.0842418676638193</v>
      </c>
      <c r="H61" s="5">
        <f t="shared" si="3"/>
        <v>8.42418676638193</v>
      </c>
    </row>
    <row r="62" spans="1:8">
      <c r="A62" t="s">
        <v>17</v>
      </c>
      <c r="B62" t="s">
        <v>17</v>
      </c>
      <c r="C62">
        <v>0.112</v>
      </c>
      <c r="D62">
        <v>104000000</v>
      </c>
      <c r="E62">
        <v>7000000</v>
      </c>
      <c r="F62" s="6">
        <v>0.00153</v>
      </c>
      <c r="G62">
        <f t="shared" si="2"/>
        <v>0.112317651614931</v>
      </c>
      <c r="H62" s="5">
        <f t="shared" si="3"/>
        <v>11.2317651614931</v>
      </c>
    </row>
    <row r="63" spans="1:8">
      <c r="A63" t="s">
        <v>17</v>
      </c>
      <c r="B63" t="s">
        <v>17</v>
      </c>
      <c r="C63">
        <v>0.141</v>
      </c>
      <c r="D63">
        <v>159000000</v>
      </c>
      <c r="E63">
        <v>8000000</v>
      </c>
      <c r="F63" s="6">
        <v>0.00153</v>
      </c>
      <c r="G63">
        <f t="shared" si="2"/>
        <v>0.141393592791817</v>
      </c>
      <c r="H63" s="5">
        <f t="shared" si="3"/>
        <v>14.1393592791817</v>
      </c>
    </row>
    <row r="64" spans="1:8">
      <c r="A64" t="s">
        <v>17</v>
      </c>
      <c r="B64" t="s">
        <v>17</v>
      </c>
      <c r="C64">
        <v>0.169</v>
      </c>
      <c r="D64">
        <v>204000000</v>
      </c>
      <c r="E64">
        <v>12000000</v>
      </c>
      <c r="F64" s="6">
        <v>0.00153</v>
      </c>
      <c r="G64">
        <f t="shared" si="2"/>
        <v>0.169464454515488</v>
      </c>
      <c r="H64" s="5">
        <f t="shared" si="3"/>
        <v>16.9464454515488</v>
      </c>
    </row>
    <row r="65" spans="1:8">
      <c r="A65" t="s">
        <v>18</v>
      </c>
      <c r="B65" t="s">
        <v>18</v>
      </c>
      <c r="C65">
        <v>0.034</v>
      </c>
      <c r="D65">
        <v>52400000</v>
      </c>
      <c r="E65">
        <v>3300000</v>
      </c>
      <c r="F65" s="1">
        <v>0.00155</v>
      </c>
      <c r="G65">
        <f t="shared" si="2"/>
        <v>0.0341004990889898</v>
      </c>
      <c r="H65" s="5">
        <f t="shared" si="3"/>
        <v>3.41004990889898</v>
      </c>
    </row>
    <row r="66" spans="1:8">
      <c r="A66" t="s">
        <v>18</v>
      </c>
      <c r="B66" t="s">
        <v>18</v>
      </c>
      <c r="C66">
        <v>0.068</v>
      </c>
      <c r="D66">
        <v>67100000</v>
      </c>
      <c r="E66">
        <v>3200000</v>
      </c>
      <c r="F66" s="1">
        <v>0.00155</v>
      </c>
      <c r="G66">
        <f t="shared" si="2"/>
        <v>0.0681973832810674</v>
      </c>
      <c r="H66" s="5">
        <f t="shared" si="3"/>
        <v>6.81973832810674</v>
      </c>
    </row>
    <row r="67" spans="1:8">
      <c r="A67" t="s">
        <v>18</v>
      </c>
      <c r="B67" t="s">
        <v>18</v>
      </c>
      <c r="C67">
        <v>0.101</v>
      </c>
      <c r="D67">
        <v>110000000</v>
      </c>
      <c r="E67">
        <v>4000000</v>
      </c>
      <c r="F67" s="1">
        <v>0.00155</v>
      </c>
      <c r="G67">
        <f t="shared" si="2"/>
        <v>0.101287962046702</v>
      </c>
      <c r="H67" s="5">
        <f t="shared" si="3"/>
        <v>10.1287962046702</v>
      </c>
    </row>
    <row r="68" spans="1:8">
      <c r="A68" t="s">
        <v>18</v>
      </c>
      <c r="B68" t="s">
        <v>18</v>
      </c>
      <c r="C68">
        <v>0.135</v>
      </c>
      <c r="D68">
        <v>139000000</v>
      </c>
      <c r="E68">
        <v>6000000</v>
      </c>
      <c r="F68" s="1">
        <v>0.00155</v>
      </c>
      <c r="G68">
        <f t="shared" si="2"/>
        <v>0.135377726128866</v>
      </c>
      <c r="H68" s="5">
        <f t="shared" si="3"/>
        <v>13.5377726128866</v>
      </c>
    </row>
    <row r="69" spans="1:8">
      <c r="A69" t="s">
        <v>18</v>
      </c>
      <c r="B69" t="s">
        <v>18</v>
      </c>
      <c r="C69">
        <v>0.169</v>
      </c>
      <c r="D69">
        <v>196000000</v>
      </c>
      <c r="E69">
        <v>12000000</v>
      </c>
      <c r="F69" s="1">
        <v>0.00155</v>
      </c>
      <c r="G69">
        <f t="shared" si="2"/>
        <v>0.169463878726585</v>
      </c>
      <c r="H69" s="5">
        <f t="shared" si="3"/>
        <v>16.9463878726585</v>
      </c>
    </row>
    <row r="70" spans="1:8">
      <c r="A70" t="s">
        <v>19</v>
      </c>
      <c r="B70" t="s">
        <v>19</v>
      </c>
      <c r="C70">
        <v>0.02</v>
      </c>
      <c r="D70">
        <v>52000000</v>
      </c>
      <c r="E70">
        <v>4000000</v>
      </c>
      <c r="F70" s="1">
        <v>0.0017</v>
      </c>
      <c r="G70">
        <f t="shared" si="2"/>
        <v>0.0200594944316561</v>
      </c>
      <c r="H70" s="5">
        <f t="shared" si="3"/>
        <v>2.00594944316561</v>
      </c>
    </row>
    <row r="71" spans="1:8">
      <c r="A71" t="s">
        <v>19</v>
      </c>
      <c r="B71" t="s">
        <v>19</v>
      </c>
      <c r="C71">
        <v>0.041</v>
      </c>
      <c r="D71">
        <v>61000000</v>
      </c>
      <c r="E71">
        <v>5000000</v>
      </c>
      <c r="F71" s="1">
        <v>0.0017</v>
      </c>
      <c r="G71">
        <f t="shared" si="2"/>
        <v>0.041120486940265</v>
      </c>
      <c r="H71" s="5">
        <f t="shared" si="3"/>
        <v>4.1120486940265</v>
      </c>
    </row>
    <row r="72" spans="1:8">
      <c r="A72" t="s">
        <v>19</v>
      </c>
      <c r="B72" t="s">
        <v>19</v>
      </c>
      <c r="C72">
        <v>0.062</v>
      </c>
      <c r="D72">
        <v>74000000</v>
      </c>
      <c r="E72">
        <v>5000000</v>
      </c>
      <c r="F72" s="1">
        <v>0.0017</v>
      </c>
      <c r="G72">
        <f t="shared" si="2"/>
        <v>0.0621799671092085</v>
      </c>
      <c r="H72" s="5">
        <f t="shared" si="3"/>
        <v>6.21799671092085</v>
      </c>
    </row>
    <row r="73" spans="1:8">
      <c r="A73" t="s">
        <v>19</v>
      </c>
      <c r="B73" t="s">
        <v>19</v>
      </c>
      <c r="C73">
        <v>0.082</v>
      </c>
      <c r="D73">
        <v>92000000</v>
      </c>
      <c r="E73">
        <v>10000000</v>
      </c>
      <c r="F73" s="1">
        <v>0.0017</v>
      </c>
      <c r="G73">
        <f t="shared" si="2"/>
        <v>0.0822352091571254</v>
      </c>
      <c r="H73" s="5">
        <f t="shared" si="3"/>
        <v>8.22352091571254</v>
      </c>
    </row>
    <row r="74" spans="1:8">
      <c r="A74" t="s">
        <v>19</v>
      </c>
      <c r="B74" t="s">
        <v>19</v>
      </c>
      <c r="C74">
        <v>0.102</v>
      </c>
      <c r="D74">
        <v>97000000</v>
      </c>
      <c r="E74">
        <v>4000000</v>
      </c>
      <c r="F74" s="1">
        <v>0.0017</v>
      </c>
      <c r="G74">
        <f t="shared" si="2"/>
        <v>0.102289080045125</v>
      </c>
      <c r="H74" s="5">
        <f t="shared" si="3"/>
        <v>10.2289080045125</v>
      </c>
    </row>
    <row r="75" spans="1:8">
      <c r="A75" t="s">
        <v>19</v>
      </c>
      <c r="B75" t="s">
        <v>19</v>
      </c>
      <c r="C75">
        <v>0.123</v>
      </c>
      <c r="D75">
        <v>182000000</v>
      </c>
      <c r="E75">
        <v>7000000</v>
      </c>
      <c r="F75" s="1">
        <v>0.0017</v>
      </c>
      <c r="G75">
        <f>(-0.997+SQRT(0.997^2+4*F75*C75))/(2*F75)</f>
        <v>0.123344169074361</v>
      </c>
      <c r="H75" s="5">
        <f t="shared" si="3"/>
        <v>12.3344169074361</v>
      </c>
    </row>
    <row r="80" spans="1:7">
      <c r="A80" t="s">
        <v>0</v>
      </c>
      <c r="B80" t="s">
        <v>1</v>
      </c>
      <c r="C80" t="s">
        <v>2</v>
      </c>
      <c r="D80" t="s">
        <v>3</v>
      </c>
      <c r="E80" t="s">
        <v>4</v>
      </c>
      <c r="F80" t="s">
        <v>20</v>
      </c>
      <c r="G80" t="s">
        <v>21</v>
      </c>
    </row>
    <row r="81" spans="1:7">
      <c r="A81" t="s">
        <v>7</v>
      </c>
      <c r="B81" t="s">
        <v>7</v>
      </c>
      <c r="C81">
        <v>0</v>
      </c>
      <c r="D81" s="2">
        <v>31847133.7579618</v>
      </c>
      <c r="E81" s="2">
        <v>2637023.81435352</v>
      </c>
      <c r="F81" s="7">
        <f t="shared" ref="F81:F84" si="4">D81/(E81^2)</f>
        <v>4.57975502958581e-6</v>
      </c>
      <c r="G81" s="8">
        <f t="shared" ref="G81:G84" si="5">1/(E81^2)</f>
        <v>1.43804307928994e-13</v>
      </c>
    </row>
    <row r="82" spans="1:7">
      <c r="A82" t="s">
        <v>7</v>
      </c>
      <c r="B82" t="s">
        <v>7</v>
      </c>
      <c r="C82">
        <v>0</v>
      </c>
      <c r="D82" s="2">
        <v>28409090.9090909</v>
      </c>
      <c r="E82" s="2">
        <v>2179106.40495868</v>
      </c>
      <c r="F82" s="7">
        <f t="shared" si="4"/>
        <v>5.98274458161864e-6</v>
      </c>
      <c r="G82" s="8">
        <f t="shared" si="5"/>
        <v>2.10592609272976e-13</v>
      </c>
    </row>
    <row r="83" spans="1:7">
      <c r="A83" t="s">
        <v>7</v>
      </c>
      <c r="B83" t="s">
        <v>7</v>
      </c>
      <c r="C83">
        <v>0</v>
      </c>
      <c r="D83" s="2">
        <v>33557046.9798658</v>
      </c>
      <c r="E83" s="2">
        <v>1351290.4824107</v>
      </c>
      <c r="F83" s="7">
        <f t="shared" si="4"/>
        <v>1.83774944444445e-5</v>
      </c>
      <c r="G83" s="8">
        <f t="shared" si="5"/>
        <v>5.47649334444446e-13</v>
      </c>
    </row>
    <row r="84" spans="1:9">
      <c r="A84" t="s">
        <v>7</v>
      </c>
      <c r="B84" t="s">
        <v>7</v>
      </c>
      <c r="C84">
        <v>0</v>
      </c>
      <c r="D84" s="2">
        <v>34482758.6206897</v>
      </c>
      <c r="E84" s="2">
        <v>3448275.86206897</v>
      </c>
      <c r="F84" s="7">
        <f t="shared" si="4"/>
        <v>2.9e-6</v>
      </c>
      <c r="G84" s="8">
        <f t="shared" si="5"/>
        <v>8.40999999999998e-14</v>
      </c>
      <c r="H84" s="9" t="s">
        <v>22</v>
      </c>
      <c r="I84" s="9" t="s">
        <v>23</v>
      </c>
    </row>
    <row r="85" spans="5:9">
      <c r="E85" t="s">
        <v>24</v>
      </c>
      <c r="F85" s="7">
        <f>SUM(F81:F84)</f>
        <v>3.1839994055649e-5</v>
      </c>
      <c r="G85" s="8">
        <f>SUM(G81:G84)</f>
        <v>9.86146251646417e-13</v>
      </c>
      <c r="H85" s="10">
        <f>F85/G85</f>
        <v>32287294.1031725</v>
      </c>
      <c r="I85" s="10">
        <f>SQRT(1/G85)</f>
        <v>1006999.68766107</v>
      </c>
    </row>
    <row r="86" spans="6:6">
      <c r="F86"/>
    </row>
    <row r="87" spans="6:6">
      <c r="F87"/>
    </row>
    <row r="88" spans="5:6">
      <c r="E88" t="s">
        <v>25</v>
      </c>
      <c r="F88"/>
    </row>
    <row r="89" spans="6:6">
      <c r="F89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tpiros</cp:lastModifiedBy>
  <dcterms:created xsi:type="dcterms:W3CDTF">2025-10-06T15:29:00Z</dcterms:created>
  <dcterms:modified xsi:type="dcterms:W3CDTF">2025-10-09T21:44:04Z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38717782895B4B2F87CB7CB30FAA64F8_12</vt:lpwstr>
  </property>
  <property fmtid="{D5CDD505-2E9C-101B-9397-08002B2CF9AE}" pid="3" name="KSOProductBuildVer">
    <vt:lpwstr>1045-12.2.0.22549</vt:lpwstr>
  </property>
</Properties>
</file>