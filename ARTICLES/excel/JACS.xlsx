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<sst xmlns="http://schemas.openxmlformats.org/spreadsheetml/2006/main" count="53" uniqueCount="26">
  <si>
    <t>Buffer (pH = 7.0)</t>
  </si>
  <si>
    <t>Na2EDTA (mM)</t>
  </si>
  <si>
    <t>Na2HPO4 (mM)</t>
  </si>
  <si>
    <t>NaCl (M)</t>
  </si>
  <si>
    <t>Crowder</t>
  </si>
  <si>
    <t>Molar mass (g/mol)</t>
  </si>
  <si>
    <t>crowder wt (%)</t>
  </si>
  <si>
    <t>ΔG°25 (kcal/mol)</t>
  </si>
  <si>
    <t>-ΔG°25 (kcal/mol)</t>
  </si>
  <si>
    <t>ΔG°25 error</t>
  </si>
  <si>
    <t>R [cal/molK]</t>
  </si>
  <si>
    <t>Temp [K]</t>
  </si>
  <si>
    <t>K [M]</t>
  </si>
  <si>
    <t>K [M] error</t>
  </si>
  <si>
    <t>None</t>
  </si>
  <si>
    <t>-</t>
  </si>
  <si>
    <t>EG</t>
  </si>
  <si>
    <t>2-methoxyethanol</t>
  </si>
  <si>
    <t>1,2-dimethoxyethane</t>
  </si>
  <si>
    <t>1,3-propanediol</t>
  </si>
  <si>
    <t>glycerol</t>
  </si>
  <si>
    <t>PEG200</t>
  </si>
  <si>
    <t>PEG1000</t>
  </si>
  <si>
    <t>PEG2000</t>
  </si>
  <si>
    <t>PEG6000</t>
  </si>
  <si>
    <t>PEG8000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</si>
</sst>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00000000_ "/>
    <numFmt numFmtId="179" formatCode="0_ "/>
    <numFmt numFmtId="180" formatCode="0.00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0212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178" fontId="2" fillId="0" borderId="0" xfId="0" applyNumberFormat="1" applyFont="1"/>
    <xf numFmtId="179" fontId="0" fillId="0" borderId="0" xfId="0" applyNumberFormat="1" applyBorder="1" applyAlignment="1">
      <alignment horizontal="center"/>
    </xf>
    <xf numFmtId="180" fontId="0" fillId="0" borderId="0" xfId="0" applyNumberFormat="1" applyFont="1" applyBorder="1" applyAlignment="1">
      <alignment horizontal="center"/>
    </xf>
    <xf numFmtId="0" fontId="1" fillId="0" borderId="0" xfId="0" applyFont="1" applyBorder="1" applyAlignment="1" quotePrefix="1">
      <alignment horizont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zoomScale="85" zoomScaleNormal="85" topLeftCell="A2" workbookViewId="0">
      <selection activeCell="L3" sqref="L3:M39"/>
    </sheetView>
  </sheetViews>
  <sheetFormatPr defaultColWidth="9" defaultRowHeight="14.4"/>
  <cols>
    <col min="1" max="1" width="15.7777777777778" style="1" customWidth="1"/>
    <col min="2" max="2" width="15.8888888888889" style="1" customWidth="1"/>
    <col min="3" max="3" width="9.55555555555556" style="1" customWidth="1"/>
    <col min="4" max="4" width="20" style="1" customWidth="1"/>
    <col min="5" max="5" width="17.2222222222222" style="1" customWidth="1"/>
    <col min="6" max="6" width="15.1111111111111" style="1" customWidth="1"/>
    <col min="7" max="7" width="16.3333333333333" style="1" customWidth="1"/>
    <col min="8" max="8" width="17.8981481481481" style="1" customWidth="1"/>
    <col min="9" max="9" width="14.3333333333333" style="1" customWidth="1"/>
    <col min="10" max="10" width="21.8333333333333" style="1" customWidth="1"/>
    <col min="11" max="11" width="8.88888888888889" style="1"/>
    <col min="12" max="12" width="17.1203703703704" style="1" customWidth="1"/>
    <col min="13" max="13" width="29.8055555555556" style="1" customWidth="1"/>
    <col min="14" max="16376" width="8.88888888888889" style="1"/>
    <col min="16377" max="16384" width="9" style="1"/>
  </cols>
  <sheetData>
    <row r="1" spans="1:6">
      <c r="A1" s="2" t="s">
        <v>0</v>
      </c>
      <c r="B1" s="2"/>
      <c r="C1" s="2"/>
      <c r="D1" s="3"/>
      <c r="E1" s="3"/>
      <c r="F1" s="3"/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7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1">
        <v>1</v>
      </c>
      <c r="B3" s="1">
        <v>10</v>
      </c>
      <c r="C3" s="1">
        <v>1</v>
      </c>
      <c r="D3" s="1" t="s">
        <v>14</v>
      </c>
      <c r="E3" s="1" t="s">
        <v>15</v>
      </c>
      <c r="F3" s="1">
        <v>0</v>
      </c>
      <c r="G3" s="1">
        <v>-11.2</v>
      </c>
      <c r="H3" s="1">
        <f>G3*(-1)</f>
        <v>11.2</v>
      </c>
      <c r="I3" s="1">
        <v>0.4</v>
      </c>
      <c r="J3" s="4">
        <v>1.98720425864083</v>
      </c>
      <c r="K3" s="1">
        <v>298.15</v>
      </c>
      <c r="L3" s="5">
        <f>EXP(H3/(298.15*$J$3)*1000)</f>
        <v>162052960.882794</v>
      </c>
      <c r="M3" s="5">
        <f>L3/($J$3*298.15)*1000*I3</f>
        <v>109405621.838046</v>
      </c>
    </row>
    <row r="4" spans="1:13">
      <c r="A4" s="1">
        <v>1</v>
      </c>
      <c r="B4" s="1">
        <v>10</v>
      </c>
      <c r="C4" s="1">
        <v>1</v>
      </c>
      <c r="D4" s="1" t="s">
        <v>16</v>
      </c>
      <c r="E4" s="1">
        <v>62.07</v>
      </c>
      <c r="F4" s="1">
        <v>20</v>
      </c>
      <c r="G4" s="1">
        <v>-9.3</v>
      </c>
      <c r="H4" s="1">
        <f t="shared" ref="H4:H39" si="0">G4*(-1)</f>
        <v>9.3</v>
      </c>
      <c r="I4" s="1">
        <v>0.3</v>
      </c>
      <c r="L4" s="5">
        <f t="shared" ref="L4:L39" si="1">EXP(H4/(298.15*$J$3)*1000)</f>
        <v>6560656.59193992</v>
      </c>
      <c r="M4" s="5">
        <f t="shared" ref="M4:M39" si="2">L4/($J$3*298.15)*1000*I4</f>
        <v>3321935.82053491</v>
      </c>
    </row>
    <row r="5" spans="1:13">
      <c r="A5" s="1">
        <v>1</v>
      </c>
      <c r="B5" s="1">
        <v>10</v>
      </c>
      <c r="C5" s="1">
        <v>1</v>
      </c>
      <c r="D5" s="1" t="s">
        <v>16</v>
      </c>
      <c r="E5" s="1">
        <v>62.07</v>
      </c>
      <c r="F5" s="1">
        <v>30</v>
      </c>
      <c r="G5" s="1">
        <v>-8.3</v>
      </c>
      <c r="H5" s="1">
        <f t="shared" si="0"/>
        <v>8.3</v>
      </c>
      <c r="I5" s="1">
        <v>0.2</v>
      </c>
      <c r="J5" s="2"/>
      <c r="L5" s="5">
        <f t="shared" si="1"/>
        <v>1213227.42559695</v>
      </c>
      <c r="M5" s="5">
        <f t="shared" si="2"/>
        <v>409538.647752342</v>
      </c>
    </row>
    <row r="6" spans="1:13">
      <c r="A6" s="1">
        <v>1</v>
      </c>
      <c r="B6" s="1">
        <v>10</v>
      </c>
      <c r="C6" s="1">
        <v>1</v>
      </c>
      <c r="D6" s="1" t="s">
        <v>16</v>
      </c>
      <c r="E6" s="1">
        <v>62.07</v>
      </c>
      <c r="F6" s="1">
        <v>40</v>
      </c>
      <c r="G6" s="1">
        <v>-7.4</v>
      </c>
      <c r="H6" s="1">
        <f t="shared" si="0"/>
        <v>7.4</v>
      </c>
      <c r="I6" s="1">
        <v>0.4</v>
      </c>
      <c r="J6" s="6"/>
      <c r="L6" s="5">
        <f t="shared" si="1"/>
        <v>265605.853067351</v>
      </c>
      <c r="M6" s="5">
        <f t="shared" si="2"/>
        <v>179316.52319315</v>
      </c>
    </row>
    <row r="7" spans="1:13">
      <c r="A7" s="1">
        <v>1</v>
      </c>
      <c r="B7" s="1">
        <v>10</v>
      </c>
      <c r="C7" s="1">
        <v>1</v>
      </c>
      <c r="D7" s="1" t="s">
        <v>17</v>
      </c>
      <c r="E7" s="1">
        <v>76.09</v>
      </c>
      <c r="F7" s="1">
        <v>20</v>
      </c>
      <c r="G7" s="1">
        <v>-8.5</v>
      </c>
      <c r="H7" s="1">
        <f t="shared" si="0"/>
        <v>8.5</v>
      </c>
      <c r="I7" s="1">
        <v>0.3</v>
      </c>
      <c r="L7" s="5">
        <f t="shared" si="1"/>
        <v>1700369.22676888</v>
      </c>
      <c r="M7" s="5">
        <f t="shared" si="2"/>
        <v>860968.313671265</v>
      </c>
    </row>
    <row r="8" spans="1:13">
      <c r="A8" s="1">
        <v>1</v>
      </c>
      <c r="B8" s="1">
        <v>10</v>
      </c>
      <c r="C8" s="1">
        <v>1</v>
      </c>
      <c r="D8" s="1" t="s">
        <v>17</v>
      </c>
      <c r="E8" s="1">
        <v>76.09</v>
      </c>
      <c r="F8" s="1">
        <v>40</v>
      </c>
      <c r="G8" s="1">
        <v>-6.3</v>
      </c>
      <c r="H8" s="1">
        <f t="shared" si="0"/>
        <v>6.3</v>
      </c>
      <c r="I8" s="1">
        <v>0.3</v>
      </c>
      <c r="L8" s="5">
        <f t="shared" si="1"/>
        <v>41488.9119804238</v>
      </c>
      <c r="M8" s="5">
        <f t="shared" si="2"/>
        <v>21007.5776610702</v>
      </c>
    </row>
    <row r="9" spans="1:13">
      <c r="A9" s="1">
        <v>1</v>
      </c>
      <c r="B9" s="1">
        <v>10</v>
      </c>
      <c r="C9" s="1">
        <v>1</v>
      </c>
      <c r="D9" s="1" t="s">
        <v>18</v>
      </c>
      <c r="E9" s="1">
        <v>90.12</v>
      </c>
      <c r="F9" s="1">
        <v>20</v>
      </c>
      <c r="G9" s="1">
        <v>-8.6</v>
      </c>
      <c r="H9" s="1">
        <f t="shared" si="0"/>
        <v>8.6</v>
      </c>
      <c r="I9" s="1">
        <v>0.4</v>
      </c>
      <c r="L9" s="5">
        <f t="shared" si="1"/>
        <v>2012999.8623096</v>
      </c>
      <c r="M9" s="5">
        <f t="shared" si="2"/>
        <v>1359021.76977296</v>
      </c>
    </row>
    <row r="10" spans="1:13">
      <c r="A10" s="1">
        <v>1</v>
      </c>
      <c r="B10" s="1">
        <v>10</v>
      </c>
      <c r="C10" s="1">
        <v>1</v>
      </c>
      <c r="D10" s="1" t="s">
        <v>18</v>
      </c>
      <c r="E10" s="1">
        <v>90.12</v>
      </c>
      <c r="F10" s="1">
        <v>30</v>
      </c>
      <c r="G10" s="1">
        <v>-7.8</v>
      </c>
      <c r="H10" s="1">
        <f t="shared" si="0"/>
        <v>7.8</v>
      </c>
      <c r="I10" s="1">
        <v>0.6</v>
      </c>
      <c r="L10" s="5">
        <f t="shared" si="1"/>
        <v>521722.631171758</v>
      </c>
      <c r="M10" s="5">
        <f t="shared" si="2"/>
        <v>528340.135651184</v>
      </c>
    </row>
    <row r="11" spans="1:13">
      <c r="A11" s="1">
        <v>1</v>
      </c>
      <c r="B11" s="1">
        <v>10</v>
      </c>
      <c r="C11" s="1">
        <v>1</v>
      </c>
      <c r="D11" s="1" t="s">
        <v>19</v>
      </c>
      <c r="E11" s="1">
        <v>76.09</v>
      </c>
      <c r="F11" s="1">
        <v>20</v>
      </c>
      <c r="G11" s="1">
        <v>-8.8</v>
      </c>
      <c r="H11" s="1">
        <f t="shared" si="0"/>
        <v>8.8</v>
      </c>
      <c r="I11" s="1">
        <v>0.5</v>
      </c>
      <c r="L11" s="5">
        <f t="shared" si="1"/>
        <v>2821270.72562434</v>
      </c>
      <c r="M11" s="5">
        <f t="shared" si="2"/>
        <v>2380879.65524469</v>
      </c>
    </row>
    <row r="12" spans="1:13">
      <c r="A12" s="1">
        <v>1</v>
      </c>
      <c r="B12" s="1">
        <v>10</v>
      </c>
      <c r="C12" s="1">
        <v>1</v>
      </c>
      <c r="D12" s="1" t="s">
        <v>19</v>
      </c>
      <c r="E12" s="1">
        <v>76.09</v>
      </c>
      <c r="F12" s="1">
        <v>40</v>
      </c>
      <c r="G12" s="1">
        <v>-7.6</v>
      </c>
      <c r="H12" s="1">
        <f t="shared" si="0"/>
        <v>7.6</v>
      </c>
      <c r="I12" s="1">
        <v>0.4</v>
      </c>
      <c r="J12" s="1"/>
      <c r="L12" s="5">
        <f>EXP(H12/(298.15*$J$3)*1000)</f>
        <v>372253.387515705</v>
      </c>
      <c r="M12" s="5">
        <f t="shared" si="2"/>
        <v>251316.687585428</v>
      </c>
    </row>
    <row r="13" spans="1:13">
      <c r="A13" s="1">
        <v>1</v>
      </c>
      <c r="B13" s="1">
        <v>10</v>
      </c>
      <c r="C13" s="1">
        <v>1</v>
      </c>
      <c r="D13" s="1" t="s">
        <v>20</v>
      </c>
      <c r="E13" s="1">
        <v>92.09</v>
      </c>
      <c r="F13" s="1">
        <v>5</v>
      </c>
      <c r="G13" s="1">
        <v>-10.9</v>
      </c>
      <c r="H13" s="1">
        <f t="shared" si="0"/>
        <v>10.9</v>
      </c>
      <c r="I13" s="1">
        <v>0.3</v>
      </c>
      <c r="L13" s="5">
        <f t="shared" si="1"/>
        <v>97668708.3905805</v>
      </c>
      <c r="M13" s="5">
        <f t="shared" si="2"/>
        <v>49453766.7688093</v>
      </c>
    </row>
    <row r="14" spans="1:13">
      <c r="A14" s="1">
        <v>1</v>
      </c>
      <c r="B14" s="1">
        <v>10</v>
      </c>
      <c r="C14" s="1">
        <v>1</v>
      </c>
      <c r="D14" s="1" t="s">
        <v>20</v>
      </c>
      <c r="E14" s="1">
        <v>92.09</v>
      </c>
      <c r="F14" s="1">
        <v>10</v>
      </c>
      <c r="G14" s="1">
        <v>-10.2</v>
      </c>
      <c r="H14" s="1">
        <f t="shared" si="0"/>
        <v>10.2</v>
      </c>
      <c r="I14" s="1">
        <v>0.4</v>
      </c>
      <c r="L14" s="5">
        <f t="shared" si="1"/>
        <v>29967594.5215203</v>
      </c>
      <c r="M14" s="5">
        <f t="shared" si="2"/>
        <v>20231801.3552905</v>
      </c>
    </row>
    <row r="15" spans="1:13">
      <c r="A15" s="1">
        <v>1</v>
      </c>
      <c r="B15" s="1">
        <v>10</v>
      </c>
      <c r="C15" s="1">
        <v>1</v>
      </c>
      <c r="D15" s="1" t="s">
        <v>20</v>
      </c>
      <c r="E15" s="1">
        <v>92.09</v>
      </c>
      <c r="F15" s="1">
        <v>15</v>
      </c>
      <c r="G15" s="1">
        <v>-9.9</v>
      </c>
      <c r="H15" s="1">
        <f t="shared" si="0"/>
        <v>9.9</v>
      </c>
      <c r="I15" s="1">
        <v>0.3</v>
      </c>
      <c r="L15" s="5">
        <f t="shared" si="1"/>
        <v>18061356.2044474</v>
      </c>
      <c r="M15" s="5">
        <f t="shared" si="2"/>
        <v>9145222.78405875</v>
      </c>
    </row>
    <row r="16" spans="1:13">
      <c r="A16" s="1">
        <v>1</v>
      </c>
      <c r="B16" s="1">
        <v>10</v>
      </c>
      <c r="C16" s="1">
        <v>1</v>
      </c>
      <c r="D16" s="1" t="s">
        <v>20</v>
      </c>
      <c r="E16" s="1">
        <v>92.09</v>
      </c>
      <c r="F16" s="1">
        <v>20</v>
      </c>
      <c r="G16" s="1">
        <v>-9.6</v>
      </c>
      <c r="H16" s="1">
        <f t="shared" si="0"/>
        <v>9.6</v>
      </c>
      <c r="I16" s="1">
        <v>0.4</v>
      </c>
      <c r="L16" s="5">
        <f t="shared" si="1"/>
        <v>10885511.2715059</v>
      </c>
      <c r="M16" s="5">
        <f t="shared" si="2"/>
        <v>7349055.04469935</v>
      </c>
    </row>
    <row r="17" spans="1:13">
      <c r="A17" s="1">
        <v>1</v>
      </c>
      <c r="B17" s="1">
        <v>10</v>
      </c>
      <c r="C17" s="1">
        <v>1</v>
      </c>
      <c r="D17" s="1" t="s">
        <v>20</v>
      </c>
      <c r="E17" s="1">
        <v>92.09</v>
      </c>
      <c r="F17" s="1">
        <v>25</v>
      </c>
      <c r="G17" s="1">
        <v>-9.3</v>
      </c>
      <c r="H17" s="1">
        <f t="shared" si="0"/>
        <v>9.3</v>
      </c>
      <c r="I17" s="1">
        <v>0.3</v>
      </c>
      <c r="L17" s="5">
        <f t="shared" si="1"/>
        <v>6560656.59193992</v>
      </c>
      <c r="M17" s="5">
        <f t="shared" si="2"/>
        <v>3321935.82053491</v>
      </c>
    </row>
    <row r="18" spans="1:13">
      <c r="A18" s="1">
        <v>1</v>
      </c>
      <c r="B18" s="1">
        <v>10</v>
      </c>
      <c r="C18" s="1">
        <v>1</v>
      </c>
      <c r="D18" s="1" t="s">
        <v>20</v>
      </c>
      <c r="E18" s="1">
        <v>92.09</v>
      </c>
      <c r="F18" s="1">
        <v>30</v>
      </c>
      <c r="G18" s="1">
        <v>-9</v>
      </c>
      <c r="H18" s="1">
        <f t="shared" si="0"/>
        <v>9</v>
      </c>
      <c r="I18" s="1">
        <v>0.3</v>
      </c>
      <c r="L18" s="5">
        <f t="shared" si="1"/>
        <v>3954082.98644022</v>
      </c>
      <c r="M18" s="5">
        <f t="shared" si="2"/>
        <v>2002118.19136527</v>
      </c>
    </row>
    <row r="19" spans="1:13">
      <c r="A19" s="1">
        <v>1</v>
      </c>
      <c r="B19" s="1">
        <v>10</v>
      </c>
      <c r="C19" s="1">
        <v>1</v>
      </c>
      <c r="D19" s="1" t="s">
        <v>20</v>
      </c>
      <c r="E19" s="1">
        <v>92.09</v>
      </c>
      <c r="F19" s="1">
        <v>40</v>
      </c>
      <c r="G19" s="1">
        <v>-8.7</v>
      </c>
      <c r="H19" s="1">
        <f t="shared" si="0"/>
        <v>8.7</v>
      </c>
      <c r="I19" s="1">
        <v>0.3</v>
      </c>
      <c r="L19" s="5">
        <f t="shared" si="1"/>
        <v>2383110.90430552</v>
      </c>
      <c r="M19" s="5">
        <f t="shared" si="2"/>
        <v>1206669.08355571</v>
      </c>
    </row>
    <row r="20" spans="1:13">
      <c r="A20" s="1">
        <v>1</v>
      </c>
      <c r="B20" s="1">
        <v>10</v>
      </c>
      <c r="C20" s="1">
        <v>1</v>
      </c>
      <c r="D20" s="1" t="s">
        <v>20</v>
      </c>
      <c r="E20" s="1">
        <v>92.09</v>
      </c>
      <c r="F20" s="1">
        <v>50</v>
      </c>
      <c r="G20" s="1">
        <v>-8.3</v>
      </c>
      <c r="H20" s="1">
        <f t="shared" si="0"/>
        <v>8.3</v>
      </c>
      <c r="I20" s="1">
        <v>0.4</v>
      </c>
      <c r="L20" s="5">
        <f t="shared" si="1"/>
        <v>1213227.42559695</v>
      </c>
      <c r="M20" s="5">
        <f t="shared" si="2"/>
        <v>819077.295504684</v>
      </c>
    </row>
    <row r="21" spans="1:13">
      <c r="A21" s="1">
        <v>1</v>
      </c>
      <c r="B21" s="1">
        <v>10</v>
      </c>
      <c r="C21" s="1">
        <v>1</v>
      </c>
      <c r="D21" s="1" t="s">
        <v>21</v>
      </c>
      <c r="E21" s="1">
        <v>200</v>
      </c>
      <c r="F21" s="1">
        <v>10</v>
      </c>
      <c r="G21" s="1">
        <v>-9.8</v>
      </c>
      <c r="H21" s="1">
        <f t="shared" si="0"/>
        <v>9.8</v>
      </c>
      <c r="I21" s="1">
        <v>0.2</v>
      </c>
      <c r="L21" s="5">
        <f t="shared" si="1"/>
        <v>15256322.0985606</v>
      </c>
      <c r="M21" s="5">
        <f t="shared" si="2"/>
        <v>5149944.18201885</v>
      </c>
    </row>
    <row r="22" spans="1:13">
      <c r="A22" s="1">
        <v>1</v>
      </c>
      <c r="B22" s="1">
        <v>10</v>
      </c>
      <c r="C22" s="1">
        <v>1</v>
      </c>
      <c r="D22" s="1" t="s">
        <v>21</v>
      </c>
      <c r="E22" s="1">
        <v>200</v>
      </c>
      <c r="F22" s="1">
        <v>20</v>
      </c>
      <c r="G22" s="1">
        <v>-8.7</v>
      </c>
      <c r="H22" s="1">
        <f t="shared" si="0"/>
        <v>8.7</v>
      </c>
      <c r="I22" s="1">
        <v>0.3</v>
      </c>
      <c r="L22" s="5">
        <f t="shared" si="1"/>
        <v>2383110.90430552</v>
      </c>
      <c r="M22" s="5">
        <f t="shared" si="2"/>
        <v>1206669.08355571</v>
      </c>
    </row>
    <row r="23" spans="1:13">
      <c r="A23" s="1">
        <v>1</v>
      </c>
      <c r="B23" s="1">
        <v>10</v>
      </c>
      <c r="C23" s="1">
        <v>1</v>
      </c>
      <c r="D23" s="1" t="s">
        <v>21</v>
      </c>
      <c r="E23" s="1">
        <v>200</v>
      </c>
      <c r="F23" s="1">
        <v>30</v>
      </c>
      <c r="G23" s="1">
        <v>-7.6</v>
      </c>
      <c r="H23" s="1">
        <f t="shared" si="0"/>
        <v>7.6</v>
      </c>
      <c r="I23" s="1">
        <v>0.2</v>
      </c>
      <c r="L23" s="5">
        <f t="shared" si="1"/>
        <v>372253.387515705</v>
      </c>
      <c r="M23" s="5">
        <f t="shared" si="2"/>
        <v>125658.343792714</v>
      </c>
    </row>
    <row r="24" spans="1:13">
      <c r="A24" s="1">
        <v>1</v>
      </c>
      <c r="B24" s="1">
        <v>10</v>
      </c>
      <c r="C24" s="1">
        <v>1</v>
      </c>
      <c r="D24" s="1" t="s">
        <v>21</v>
      </c>
      <c r="E24" s="1">
        <v>200</v>
      </c>
      <c r="F24" s="1">
        <v>40</v>
      </c>
      <c r="G24" s="1">
        <v>-6.8</v>
      </c>
      <c r="H24" s="1">
        <f t="shared" si="0"/>
        <v>6.8</v>
      </c>
      <c r="I24" s="1">
        <v>0.3</v>
      </c>
      <c r="L24" s="5">
        <f t="shared" si="1"/>
        <v>96479.398947631</v>
      </c>
      <c r="M24" s="5">
        <f t="shared" si="2"/>
        <v>48851.5694757688</v>
      </c>
    </row>
    <row r="25" spans="1:13">
      <c r="A25" s="1">
        <v>1</v>
      </c>
      <c r="B25" s="1">
        <v>10</v>
      </c>
      <c r="C25" s="1">
        <v>1</v>
      </c>
      <c r="D25" s="1" t="s">
        <v>21</v>
      </c>
      <c r="E25" s="1">
        <v>200</v>
      </c>
      <c r="F25" s="1">
        <v>50</v>
      </c>
      <c r="G25" s="1">
        <v>-5.9</v>
      </c>
      <c r="H25" s="1">
        <f t="shared" si="0"/>
        <v>5.9</v>
      </c>
      <c r="I25" s="1">
        <v>0.4</v>
      </c>
      <c r="L25" s="5">
        <f t="shared" si="1"/>
        <v>21121.7555095265</v>
      </c>
      <c r="M25" s="5">
        <f t="shared" si="2"/>
        <v>14259.775219425</v>
      </c>
    </row>
    <row r="26" spans="1:13">
      <c r="A26" s="1">
        <v>1</v>
      </c>
      <c r="B26" s="1">
        <v>10</v>
      </c>
      <c r="C26" s="1">
        <v>1</v>
      </c>
      <c r="D26" s="1" t="s">
        <v>22</v>
      </c>
      <c r="E26" s="1">
        <v>1000</v>
      </c>
      <c r="F26" s="1">
        <v>20</v>
      </c>
      <c r="G26" s="1">
        <v>-9.9</v>
      </c>
      <c r="H26" s="1">
        <f t="shared" si="0"/>
        <v>9.9</v>
      </c>
      <c r="I26" s="1">
        <v>0.3</v>
      </c>
      <c r="L26" s="5">
        <f t="shared" si="1"/>
        <v>18061356.2044474</v>
      </c>
      <c r="M26" s="5">
        <f t="shared" si="2"/>
        <v>9145222.78405875</v>
      </c>
    </row>
    <row r="27" spans="1:13">
      <c r="A27" s="1">
        <v>1</v>
      </c>
      <c r="B27" s="1">
        <v>10</v>
      </c>
      <c r="C27" s="1">
        <v>1</v>
      </c>
      <c r="D27" s="1" t="s">
        <v>22</v>
      </c>
      <c r="E27" s="1">
        <v>1000</v>
      </c>
      <c r="F27" s="1">
        <v>40</v>
      </c>
      <c r="G27" s="1">
        <v>-7.6</v>
      </c>
      <c r="H27" s="1">
        <f t="shared" si="0"/>
        <v>7.6</v>
      </c>
      <c r="I27" s="1">
        <v>0.3</v>
      </c>
      <c r="L27" s="5">
        <f t="shared" si="1"/>
        <v>372253.387515705</v>
      </c>
      <c r="M27" s="5">
        <f t="shared" si="2"/>
        <v>188487.515689071</v>
      </c>
    </row>
    <row r="28" spans="1:13">
      <c r="A28" s="1">
        <v>1</v>
      </c>
      <c r="B28" s="1">
        <v>10</v>
      </c>
      <c r="C28" s="1">
        <v>1</v>
      </c>
      <c r="D28" s="1" t="s">
        <v>23</v>
      </c>
      <c r="E28" s="1">
        <v>2000</v>
      </c>
      <c r="F28" s="1">
        <v>20</v>
      </c>
      <c r="G28" s="1">
        <v>-10.1</v>
      </c>
      <c r="H28" s="1">
        <f t="shared" si="0"/>
        <v>10.1</v>
      </c>
      <c r="I28" s="1">
        <v>0.4</v>
      </c>
      <c r="L28" s="5">
        <f t="shared" si="1"/>
        <v>25313452.0666171</v>
      </c>
      <c r="M28" s="5">
        <f t="shared" si="2"/>
        <v>17089684.4409947</v>
      </c>
    </row>
    <row r="29" spans="1:13">
      <c r="A29" s="1">
        <v>1</v>
      </c>
      <c r="B29" s="1">
        <v>10</v>
      </c>
      <c r="C29" s="1">
        <v>1</v>
      </c>
      <c r="D29" s="1" t="s">
        <v>23</v>
      </c>
      <c r="E29" s="1">
        <v>2000</v>
      </c>
      <c r="F29" s="1">
        <v>40</v>
      </c>
      <c r="G29" s="1">
        <v>-9.1</v>
      </c>
      <c r="H29" s="1">
        <f t="shared" si="0"/>
        <v>9.1</v>
      </c>
      <c r="I29" s="1">
        <v>0.4</v>
      </c>
      <c r="L29" s="5">
        <f t="shared" si="1"/>
        <v>4681082.42725025</v>
      </c>
      <c r="M29" s="5">
        <f t="shared" si="2"/>
        <v>3160304.69939311</v>
      </c>
    </row>
    <row r="30" spans="1:13">
      <c r="A30" s="1">
        <v>1</v>
      </c>
      <c r="B30" s="1">
        <v>10</v>
      </c>
      <c r="C30" s="1">
        <v>1</v>
      </c>
      <c r="D30" s="1" t="s">
        <v>24</v>
      </c>
      <c r="E30" s="1">
        <v>6000</v>
      </c>
      <c r="F30" s="1">
        <v>20</v>
      </c>
      <c r="G30" s="1">
        <v>-10.3</v>
      </c>
      <c r="H30" s="1">
        <f t="shared" si="0"/>
        <v>10.3</v>
      </c>
      <c r="I30" s="1">
        <v>0.6</v>
      </c>
      <c r="L30" s="5">
        <f t="shared" si="1"/>
        <v>35477449.6596851</v>
      </c>
      <c r="M30" s="5">
        <f t="shared" si="2"/>
        <v>35927443.9056972</v>
      </c>
    </row>
    <row r="31" spans="1:13">
      <c r="A31" s="1">
        <v>1</v>
      </c>
      <c r="B31" s="1">
        <v>10</v>
      </c>
      <c r="C31" s="1">
        <v>1</v>
      </c>
      <c r="D31" s="1" t="s">
        <v>25</v>
      </c>
      <c r="E31" s="1">
        <v>8000</v>
      </c>
      <c r="F31" s="1">
        <v>10</v>
      </c>
      <c r="G31" s="1">
        <v>-10.5</v>
      </c>
      <c r="H31" s="1">
        <f t="shared" si="0"/>
        <v>10.5</v>
      </c>
      <c r="I31" s="1">
        <v>0.4</v>
      </c>
      <c r="L31" s="5">
        <f t="shared" si="1"/>
        <v>49722551.9080966</v>
      </c>
      <c r="M31" s="5">
        <f t="shared" si="2"/>
        <v>33568820.2254711</v>
      </c>
    </row>
    <row r="32" spans="1:13">
      <c r="A32" s="1">
        <v>1</v>
      </c>
      <c r="B32" s="1">
        <v>10</v>
      </c>
      <c r="C32" s="1">
        <v>1</v>
      </c>
      <c r="D32" s="1" t="s">
        <v>25</v>
      </c>
      <c r="E32" s="1">
        <v>8000</v>
      </c>
      <c r="F32" s="1">
        <v>15</v>
      </c>
      <c r="G32" s="1">
        <v>-10</v>
      </c>
      <c r="H32" s="1">
        <f t="shared" si="0"/>
        <v>10</v>
      </c>
      <c r="I32" s="1">
        <v>0.5</v>
      </c>
      <c r="L32" s="5">
        <f t="shared" si="1"/>
        <v>21382125.1174755</v>
      </c>
      <c r="M32" s="5">
        <f t="shared" si="2"/>
        <v>18044445.7937754</v>
      </c>
    </row>
    <row r="33" spans="1:13">
      <c r="A33" s="1">
        <v>1</v>
      </c>
      <c r="B33" s="1">
        <v>10</v>
      </c>
      <c r="C33" s="1">
        <v>1</v>
      </c>
      <c r="D33" s="1" t="s">
        <v>25</v>
      </c>
      <c r="E33" s="1">
        <v>8000</v>
      </c>
      <c r="F33" s="1">
        <v>20</v>
      </c>
      <c r="G33" s="1">
        <v>-10.7</v>
      </c>
      <c r="H33" s="1">
        <f t="shared" si="0"/>
        <v>10.7</v>
      </c>
      <c r="I33" s="1">
        <v>0.4</v>
      </c>
      <c r="L33" s="5">
        <f t="shared" si="1"/>
        <v>69687426.5757271</v>
      </c>
      <c r="M33" s="5">
        <f t="shared" si="2"/>
        <v>47047559.0034102</v>
      </c>
    </row>
    <row r="34" spans="1:13">
      <c r="A34" s="1">
        <v>1</v>
      </c>
      <c r="B34" s="1">
        <v>10</v>
      </c>
      <c r="C34" s="1">
        <v>0.1</v>
      </c>
      <c r="D34" s="1" t="s">
        <v>14</v>
      </c>
      <c r="E34" s="1" t="s">
        <v>15</v>
      </c>
      <c r="F34" s="1">
        <v>0</v>
      </c>
      <c r="G34" s="1">
        <v>-10.2</v>
      </c>
      <c r="H34" s="1">
        <f t="shared" si="0"/>
        <v>10.2</v>
      </c>
      <c r="I34" s="1">
        <v>0.6</v>
      </c>
      <c r="L34" s="5">
        <f t="shared" si="1"/>
        <v>29967594.5215203</v>
      </c>
      <c r="M34" s="5">
        <f t="shared" si="2"/>
        <v>30347702.0329357</v>
      </c>
    </row>
    <row r="35" spans="1:13">
      <c r="A35" s="1">
        <v>1</v>
      </c>
      <c r="B35" s="1">
        <v>10</v>
      </c>
      <c r="C35" s="1">
        <v>0.1</v>
      </c>
      <c r="D35" s="1" t="s">
        <v>21</v>
      </c>
      <c r="E35" s="1">
        <v>200</v>
      </c>
      <c r="F35" s="1">
        <v>10</v>
      </c>
      <c r="G35" s="1">
        <v>-9.6</v>
      </c>
      <c r="H35" s="1">
        <f t="shared" si="0"/>
        <v>9.6</v>
      </c>
      <c r="I35" s="1">
        <v>0.2</v>
      </c>
      <c r="L35" s="5">
        <f t="shared" si="1"/>
        <v>10885511.2715059</v>
      </c>
      <c r="M35" s="5">
        <f t="shared" si="2"/>
        <v>3674527.52234967</v>
      </c>
    </row>
    <row r="36" spans="1:13">
      <c r="A36" s="1">
        <v>1</v>
      </c>
      <c r="B36" s="1">
        <v>10</v>
      </c>
      <c r="C36" s="1">
        <v>0.1</v>
      </c>
      <c r="D36" s="1" t="s">
        <v>21</v>
      </c>
      <c r="E36" s="1">
        <v>200</v>
      </c>
      <c r="F36" s="1">
        <v>20</v>
      </c>
      <c r="G36" s="1">
        <v>-8.8</v>
      </c>
      <c r="H36" s="1">
        <f t="shared" si="0"/>
        <v>8.8</v>
      </c>
      <c r="I36" s="1">
        <v>0.3</v>
      </c>
      <c r="L36" s="5">
        <f t="shared" si="1"/>
        <v>2821270.72562434</v>
      </c>
      <c r="M36" s="5">
        <f t="shared" si="2"/>
        <v>1428527.79314681</v>
      </c>
    </row>
    <row r="37" spans="1:13">
      <c r="A37" s="1">
        <v>1</v>
      </c>
      <c r="B37" s="1">
        <v>10</v>
      </c>
      <c r="C37" s="1">
        <v>0.1</v>
      </c>
      <c r="D37" s="1" t="s">
        <v>21</v>
      </c>
      <c r="E37" s="1">
        <v>200</v>
      </c>
      <c r="F37" s="1">
        <v>30</v>
      </c>
      <c r="G37" s="1">
        <v>-7.8</v>
      </c>
      <c r="H37" s="1">
        <f t="shared" si="0"/>
        <v>7.8</v>
      </c>
      <c r="I37" s="1">
        <v>0.3</v>
      </c>
      <c r="L37" s="5">
        <f t="shared" si="1"/>
        <v>521722.631171758</v>
      </c>
      <c r="M37" s="5">
        <f t="shared" si="2"/>
        <v>264170.067825592</v>
      </c>
    </row>
    <row r="38" spans="1:13">
      <c r="A38" s="1">
        <v>1</v>
      </c>
      <c r="B38" s="1">
        <v>10</v>
      </c>
      <c r="C38" s="1">
        <v>0.1</v>
      </c>
      <c r="D38" s="1" t="s">
        <v>21</v>
      </c>
      <c r="E38" s="1">
        <v>200</v>
      </c>
      <c r="F38" s="1">
        <v>40</v>
      </c>
      <c r="G38" s="1">
        <v>-7.2</v>
      </c>
      <c r="H38" s="1">
        <f t="shared" si="0"/>
        <v>7.2</v>
      </c>
      <c r="I38" s="1">
        <v>0.5</v>
      </c>
      <c r="L38" s="5">
        <f t="shared" si="1"/>
        <v>189511.960265664</v>
      </c>
      <c r="M38" s="5">
        <f t="shared" si="2"/>
        <v>159929.767293853</v>
      </c>
    </row>
    <row r="39" spans="1:13">
      <c r="A39" s="1">
        <v>1</v>
      </c>
      <c r="B39" s="1">
        <v>10</v>
      </c>
      <c r="C39" s="1">
        <v>0.1</v>
      </c>
      <c r="D39" s="1" t="s">
        <v>21</v>
      </c>
      <c r="E39" s="1">
        <v>200</v>
      </c>
      <c r="F39" s="1">
        <v>50</v>
      </c>
      <c r="G39" s="1">
        <v>-5.3</v>
      </c>
      <c r="H39" s="1">
        <f t="shared" si="0"/>
        <v>5.3</v>
      </c>
      <c r="I39" s="1">
        <v>0.4</v>
      </c>
      <c r="L39" s="5">
        <f t="shared" si="1"/>
        <v>7672.32443390913</v>
      </c>
      <c r="M39" s="5">
        <f t="shared" si="2"/>
        <v>5179.75988258653</v>
      </c>
    </row>
  </sheetData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tpiros</cp:lastModifiedBy>
  <dcterms:created xsi:type="dcterms:W3CDTF">2025-09-04T11:28:00Z</dcterms:created>
  <dcterms:modified xsi:type="dcterms:W3CDTF">2025-10-07T14:53:18Z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